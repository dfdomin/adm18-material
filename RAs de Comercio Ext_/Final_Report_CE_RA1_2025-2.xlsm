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O BRUME\Dropbox\PC (3)\Downloads\Formatos Actualizados LINEA ANI - GLI - CE\CE\"/>
    </mc:Choice>
  </mc:AlternateContent>
  <xr:revisionPtr revIDLastSave="0" documentId="13_ncr:1_{9829C35C-E41B-4793-B36D-FDE2655A785F}" xr6:coauthVersionLast="47" xr6:coauthVersionMax="47" xr10:uidLastSave="{00000000-0000-0000-0000-000000000000}"/>
  <bookViews>
    <workbookView xWindow="-120" yWindow="-120" windowWidth="20730" windowHeight="11040" tabRatio="857" xr2:uid="{00000000-000D-0000-FFFF-FFFF00000000}"/>
  </bookViews>
  <sheets>
    <sheet name="RUBRIC SO#" sheetId="12" r:id="rId1"/>
    <sheet name="1" sheetId="21" state="hidden" r:id="rId2"/>
    <sheet name="2" sheetId="22" state="hidden" r:id="rId3"/>
    <sheet name="3" sheetId="23" state="hidden" r:id="rId4"/>
    <sheet name="4" sheetId="24" state="hidden" r:id="rId5"/>
    <sheet name="5" sheetId="25" state="hidden" r:id="rId6"/>
    <sheet name="6" sheetId="26" state="hidden" r:id="rId7"/>
    <sheet name="7" sheetId="27" state="hidden" r:id="rId8"/>
    <sheet name="EF_ASESSM_SO#_CODIG_MODULO_1" sheetId="17" r:id="rId9"/>
    <sheet name="EF_ASESSM_SO#_CODIG_MODULO_2" sheetId="14" r:id="rId10"/>
    <sheet name="EF_ASESSM_SO#_CODIG_MODULO_3" sheetId="13" r:id="rId11"/>
    <sheet name="EF_ASESSM_SO#_CODIG_MODULO_4" sheetId="18" r:id="rId12"/>
    <sheet name="EF_ASESSM_SO#_CODIG_MODULO_5" sheetId="19" r:id="rId13"/>
    <sheet name="EF_ASESSM_SO#_CODIG_MODULO_6" sheetId="20" r:id="rId14"/>
    <sheet name="EF_ASESSM_SO#_CODIG_MODULO_7" sheetId="28" r:id="rId15"/>
    <sheet name="EF_ASESSM_SO#_CODIG_MODULO_8" sheetId="29" r:id="rId16"/>
    <sheet name="EF_ASESSM_SO#_CODIG_MODULO_9" sheetId="30" r:id="rId17"/>
    <sheet name="EF_ASESSM_SO#_CODIG_MODULO_10" sheetId="31" r:id="rId18"/>
    <sheet name="EF_ASESSM_SO#_CODIG_MODULO_11" sheetId="32" r:id="rId19"/>
    <sheet name="EF_ASESSM_SO#_CODIG_MODULO_12" sheetId="33" r:id="rId20"/>
    <sheet name="EF_ASESSM_SO#_CODIG_MODULO_13" sheetId="34" r:id="rId21"/>
    <sheet name="EF_ASESSM_SO#_CODIG_MODULO_14" sheetId="35" r:id="rId22"/>
    <sheet name="EF_ASESSM_SO#_CODIG_MODULO_15" sheetId="36" r:id="rId23"/>
    <sheet name="FINAL_REPORT_ASESSMT_SO" sheetId="2" r:id="rId24"/>
  </sheets>
  <definedNames>
    <definedName name="Analisis_Pegar">'EF_ASESSM_SO#_CODIG_MODULO_1'!$B$80</definedName>
    <definedName name="Analisis_Pegar_10" localSheetId="17">'EF_ASESSM_SO#_CODIG_MODULO_10'!$B$80</definedName>
    <definedName name="Analisis_Pegar_11" localSheetId="18">'EF_ASESSM_SO#_CODIG_MODULO_11'!$B$80</definedName>
    <definedName name="Analisis_Pegar_12" localSheetId="19">'EF_ASESSM_SO#_CODIG_MODULO_12'!$B$80</definedName>
    <definedName name="Analisis_Pegar_13" localSheetId="20">'EF_ASESSM_SO#_CODIG_MODULO_13'!$B$80</definedName>
    <definedName name="Analisis_Pegar_14" localSheetId="21">'EF_ASESSM_SO#_CODIG_MODULO_14'!$B$80</definedName>
    <definedName name="Analisis_Pegar_15" localSheetId="22">'EF_ASESSM_SO#_CODIG_MODULO_15'!$B$80</definedName>
    <definedName name="Analisis_Pegar_2">'EF_ASESSM_SO#_CODIG_MODULO_2'!$B$80</definedName>
    <definedName name="Analisis_Pegar_3">'EF_ASESSM_SO#_CODIG_MODULO_3'!$B$80</definedName>
    <definedName name="Analisis_Pegar_4">'EF_ASESSM_SO#_CODIG_MODULO_4'!$B$80</definedName>
    <definedName name="Analisis_Pegar_5">'EF_ASESSM_SO#_CODIG_MODULO_5'!$B$80</definedName>
    <definedName name="Analisis_Pegar_6">'EF_ASESSM_SO#_CODIG_MODULO_6'!$B$80</definedName>
    <definedName name="Analisis_Pegar_7" localSheetId="14">'EF_ASESSM_SO#_CODIG_MODULO_7'!$B$80</definedName>
    <definedName name="Analisis_Pegar_8" localSheetId="15">'EF_ASESSM_SO#_CODIG_MODULO_8'!$B$80</definedName>
    <definedName name="Analisis_Pegar_9" localSheetId="16">'EF_ASESSM_SO#_CODIG_MODULO_9'!$B$80</definedName>
    <definedName name="_xlnm.Print_Area" localSheetId="8">'EF_ASESSM_SO#_CODIG_MODULO_1'!$A$1:$K$88</definedName>
    <definedName name="_xlnm.Print_Area" localSheetId="17">'EF_ASESSM_SO#_CODIG_MODULO_10'!$A$1:$K$88</definedName>
    <definedName name="_xlnm.Print_Area" localSheetId="18">'EF_ASESSM_SO#_CODIG_MODULO_11'!$A$1:$K$88</definedName>
    <definedName name="_xlnm.Print_Area" localSheetId="19">'EF_ASESSM_SO#_CODIG_MODULO_12'!$A$1:$K$88</definedName>
    <definedName name="_xlnm.Print_Area" localSheetId="20">'EF_ASESSM_SO#_CODIG_MODULO_13'!$A$1:$K$88</definedName>
    <definedName name="_xlnm.Print_Area" localSheetId="21">'EF_ASESSM_SO#_CODIG_MODULO_14'!$A$1:$K$88</definedName>
    <definedName name="_xlnm.Print_Area" localSheetId="22">'EF_ASESSM_SO#_CODIG_MODULO_15'!$A$1:$K$88</definedName>
    <definedName name="_xlnm.Print_Area" localSheetId="9">'EF_ASESSM_SO#_CODIG_MODULO_2'!$A$1:$K$88</definedName>
    <definedName name="_xlnm.Print_Area" localSheetId="10">'EF_ASESSM_SO#_CODIG_MODULO_3'!$A$1:$K$88</definedName>
    <definedName name="_xlnm.Print_Area" localSheetId="11">'EF_ASESSM_SO#_CODIG_MODULO_4'!$A$1:$K$88</definedName>
    <definedName name="_xlnm.Print_Area" localSheetId="12">'EF_ASESSM_SO#_CODIG_MODULO_5'!$A$1:$K$88</definedName>
    <definedName name="_xlnm.Print_Area" localSheetId="13">'EF_ASESSM_SO#_CODIG_MODULO_6'!$A$1:$K$88</definedName>
    <definedName name="_xlnm.Print_Area" localSheetId="14">'EF_ASESSM_SO#_CODIG_MODULO_7'!$A$1:$K$88</definedName>
    <definedName name="_xlnm.Print_Area" localSheetId="15">'EF_ASESSM_SO#_CODIG_MODULO_8'!$A$1:$K$88</definedName>
    <definedName name="_xlnm.Print_Area" localSheetId="16">'EF_ASESSM_SO#_CODIG_MODULO_9'!$A$1:$K$88</definedName>
    <definedName name="_xlnm.Print_Area" localSheetId="0">'RUBRIC SO#'!$A$2:$G$14</definedName>
    <definedName name="Consolidated_Assessment_SO">FINAL_REPORT_ASESSMT_SO!$B$278:$V$319</definedName>
    <definedName name="Modulo1_Consolidado">FINAL_REPORT_ASESSMT_SO!$F$281</definedName>
    <definedName name="Modulo10_Consolidado">FINAL_REPORT_ASESSMT_SO!$O$281</definedName>
    <definedName name="Modulo11_Consolidado">FINAL_REPORT_ASESSMT_SO!$P$281</definedName>
    <definedName name="Modulo12_Consolidado">FINAL_REPORT_ASESSMT_SO!$Q$281</definedName>
    <definedName name="Modulo13_Consolidado">FINAL_REPORT_ASESSMT_SO!$R$281</definedName>
    <definedName name="Modulo14_Consolidado">FINAL_REPORT_ASESSMT_SO!$S$281</definedName>
    <definedName name="Modulo15_Consolidado">FINAL_REPORT_ASESSMT_SO!$T$281</definedName>
    <definedName name="Modulo2_Consolidado">FINAL_REPORT_ASESSMT_SO!$G$281</definedName>
    <definedName name="Modulo3_Consolidado">FINAL_REPORT_ASESSMT_SO!$H$281</definedName>
    <definedName name="Modulo4_Consolidado">FINAL_REPORT_ASESSMT_SO!$I$281</definedName>
    <definedName name="Modulo5_Consolidado">FINAL_REPORT_ASESSMT_SO!$J$281</definedName>
    <definedName name="Modulo6_Consolidado">FINAL_REPORT_ASESSMT_SO!$K$281</definedName>
    <definedName name="Modulo7_Consolidado">FINAL_REPORT_ASESSMT_SO!$L$281</definedName>
    <definedName name="Modulo8_Consolidado">FINAL_REPORT_ASESSMT_SO!$M$281</definedName>
    <definedName name="Modulo9_Consolidado">FINAL_REPORT_ASESSMT_SO!$N$281</definedName>
    <definedName name="Periodo">FINAL_REPORT_ASESSMT_SO!$E$22</definedName>
    <definedName name="PI_11">FINAL_REPORT_ASESSMT_SO!$E$33</definedName>
    <definedName name="PI_110">FINAL_REPORT_ASESSMT_SO!$E$42</definedName>
    <definedName name="PI_111">FINAL_REPORT_ASESSMT_SO!$E$43</definedName>
    <definedName name="PI_112">FINAL_REPORT_ASESSMT_SO!$E$44</definedName>
    <definedName name="PI_113">FINAL_REPORT_ASESSMT_SO!$E$45</definedName>
    <definedName name="PI_114">FINAL_REPORT_ASESSMT_SO!$E$46</definedName>
    <definedName name="PI_115">FINAL_REPORT_ASESSMT_SO!$E$47</definedName>
    <definedName name="PI_12">FINAL_REPORT_ASESSMT_SO!$E$34</definedName>
    <definedName name="PI_13">FINAL_REPORT_ASESSMT_SO!$E$35</definedName>
    <definedName name="PI_14">FINAL_REPORT_ASESSMT_SO!$E$36</definedName>
    <definedName name="PI_15">FINAL_REPORT_ASESSMT_SO!$E$37</definedName>
    <definedName name="PI_16">FINAL_REPORT_ASESSMT_SO!$E$38</definedName>
    <definedName name="PI_17">FINAL_REPORT_ASESSMT_SO!$E$39</definedName>
    <definedName name="PI_18">FINAL_REPORT_ASESSMT_SO!$E$40</definedName>
    <definedName name="PI_19">FINAL_REPORT_ASESSMT_SO!$E$41</definedName>
    <definedName name="PI_21">FINAL_REPORT_ASESSMT_SO!$E$75</definedName>
    <definedName name="PI_210">FINAL_REPORT_ASESSMT_SO!$E$84</definedName>
    <definedName name="PI_211">FINAL_REPORT_ASESSMT_SO!$E$85</definedName>
    <definedName name="PI_212">FINAL_REPORT_ASESSMT_SO!$E$86</definedName>
    <definedName name="PI_213">FINAL_REPORT_ASESSMT_SO!$E$87</definedName>
    <definedName name="PI_214">FINAL_REPORT_ASESSMT_SO!$E$88</definedName>
    <definedName name="PI_215">FINAL_REPORT_ASESSMT_SO!$E$89</definedName>
    <definedName name="PI_22">FINAL_REPORT_ASESSMT_SO!$E$76</definedName>
    <definedName name="PI_23">FINAL_REPORT_ASESSMT_SO!$E$77</definedName>
    <definedName name="PI_24">FINAL_REPORT_ASESSMT_SO!$E$78</definedName>
    <definedName name="PI_25">FINAL_REPORT_ASESSMT_SO!$E$79</definedName>
    <definedName name="PI_26">FINAL_REPORT_ASESSMT_SO!$E$80</definedName>
    <definedName name="PI_27">FINAL_REPORT_ASESSMT_SO!$E$81</definedName>
    <definedName name="PI_28">FINAL_REPORT_ASESSMT_SO!$E$82</definedName>
    <definedName name="PI_29">FINAL_REPORT_ASESSMT_SO!$E$83</definedName>
    <definedName name="PI_31">FINAL_REPORT_ASESSMT_SO!$E$117</definedName>
    <definedName name="PI_310">FINAL_REPORT_ASESSMT_SO!$E$126</definedName>
    <definedName name="PI_311">FINAL_REPORT_ASESSMT_SO!$E$127</definedName>
    <definedName name="PI_312">FINAL_REPORT_ASESSMT_SO!$E$128</definedName>
    <definedName name="PI_313">FINAL_REPORT_ASESSMT_SO!$E$129</definedName>
    <definedName name="PI_314">FINAL_REPORT_ASESSMT_SO!$E$130</definedName>
    <definedName name="PI_315">FINAL_REPORT_ASESSMT_SO!$E$131</definedName>
    <definedName name="PI_32">FINAL_REPORT_ASESSMT_SO!$E$118</definedName>
    <definedName name="PI_33">FINAL_REPORT_ASESSMT_SO!$E$119</definedName>
    <definedName name="PI_34">FINAL_REPORT_ASESSMT_SO!$E$120</definedName>
    <definedName name="PI_35">FINAL_REPORT_ASESSMT_SO!$E$121</definedName>
    <definedName name="PI_36">FINAL_REPORT_ASESSMT_SO!$E$122</definedName>
    <definedName name="PI_37">FINAL_REPORT_ASESSMT_SO!$E$123</definedName>
    <definedName name="PI_38">FINAL_REPORT_ASESSMT_SO!$E$124</definedName>
    <definedName name="PI_39">FINAL_REPORT_ASESSMT_SO!$E$125</definedName>
    <definedName name="PI_41">FINAL_REPORT_ASESSMT_SO!$E$159</definedName>
    <definedName name="PI_410">FINAL_REPORT_ASESSMT_SO!$E$168</definedName>
    <definedName name="PI_411">FINAL_REPORT_ASESSMT_SO!$E$169</definedName>
    <definedName name="PI_412">FINAL_REPORT_ASESSMT_SO!$E$170</definedName>
    <definedName name="PI_413">FINAL_REPORT_ASESSMT_SO!$E$171</definedName>
    <definedName name="PI_414">FINAL_REPORT_ASESSMT_SO!$E$172</definedName>
    <definedName name="PI_415">FINAL_REPORT_ASESSMT_SO!$E$173</definedName>
    <definedName name="PI_42">FINAL_REPORT_ASESSMT_SO!$E$160</definedName>
    <definedName name="PI_43">FINAL_REPORT_ASESSMT_SO!$E$161</definedName>
    <definedName name="PI_44">FINAL_REPORT_ASESSMT_SO!$E$162</definedName>
    <definedName name="PI_45">FINAL_REPORT_ASESSMT_SO!$E$163</definedName>
    <definedName name="PI_46">FINAL_REPORT_ASESSMT_SO!$E$164</definedName>
    <definedName name="PI_47">FINAL_REPORT_ASESSMT_SO!$E$165</definedName>
    <definedName name="PI_48">FINAL_REPORT_ASESSMT_SO!$E$166</definedName>
    <definedName name="PI_49">FINAL_REPORT_ASESSMT_SO!$E$167</definedName>
    <definedName name="PI_51">FINAL_REPORT_ASESSMT_SO!$E$201</definedName>
    <definedName name="PI_510">FINAL_REPORT_ASESSMT_SO!$E$210</definedName>
    <definedName name="PI_511">FINAL_REPORT_ASESSMT_SO!$E$211</definedName>
    <definedName name="PI_512">FINAL_REPORT_ASESSMT_SO!$E$212</definedName>
    <definedName name="PI_513">FINAL_REPORT_ASESSMT_SO!$E$213</definedName>
    <definedName name="PI_514">FINAL_REPORT_ASESSMT_SO!$E$214</definedName>
    <definedName name="PI_515">FINAL_REPORT_ASESSMT_SO!$E$215</definedName>
    <definedName name="PI_52">FINAL_REPORT_ASESSMT_SO!$E$202</definedName>
    <definedName name="PI_53">FINAL_REPORT_ASESSMT_SO!$E$203</definedName>
    <definedName name="PI_54">FINAL_REPORT_ASESSMT_SO!$E$204</definedName>
    <definedName name="PI_55">FINAL_REPORT_ASESSMT_SO!$E$205</definedName>
    <definedName name="PI_56">FINAL_REPORT_ASESSMT_SO!$E$206</definedName>
    <definedName name="PI_57">FINAL_REPORT_ASESSMT_SO!$E$207</definedName>
    <definedName name="PI_58">FINAL_REPORT_ASESSMT_SO!$E$208</definedName>
    <definedName name="PI_59">FINAL_REPORT_ASESSMT_SO!$E$209</definedName>
    <definedName name="PI_61">FINAL_REPORT_ASESSMT_SO!$E$243</definedName>
    <definedName name="PI_610">FINAL_REPORT_ASESSMT_SO!$E$252</definedName>
    <definedName name="PI_611">FINAL_REPORT_ASESSMT_SO!$E$253</definedName>
    <definedName name="PI_612">FINAL_REPORT_ASESSMT_SO!$E$254</definedName>
    <definedName name="PI_613">FINAL_REPORT_ASESSMT_SO!$E$255</definedName>
    <definedName name="PI_614">FINAL_REPORT_ASESSMT_SO!$E$256</definedName>
    <definedName name="PI_615">FINAL_REPORT_ASESSMT_SO!$E$257</definedName>
    <definedName name="PI_62">FINAL_REPORT_ASESSMT_SO!$E$244</definedName>
    <definedName name="PI_63">FINAL_REPORT_ASESSMT_SO!$E$245</definedName>
    <definedName name="PI_64">FINAL_REPORT_ASESSMT_SO!$E$246</definedName>
    <definedName name="PI_65">FINAL_REPORT_ASESSMT_SO!$E$247</definedName>
    <definedName name="PI_66">FINAL_REPORT_ASESSMT_SO!$E$248</definedName>
    <definedName name="PI_67">FINAL_REPORT_ASESSMT_SO!$E$249</definedName>
    <definedName name="PI_68">FINAL_REPORT_ASESSMT_SO!$E$250</definedName>
    <definedName name="PI_69">FINAL_REPORT_ASESSMT_SO!$E$251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9" i="2" l="1"/>
  <c r="F19" i="2"/>
  <c r="E19" i="2"/>
  <c r="C19" i="2"/>
  <c r="G18" i="2"/>
  <c r="F18" i="2"/>
  <c r="E18" i="2"/>
  <c r="C18" i="2"/>
  <c r="G17" i="2"/>
  <c r="F17" i="2"/>
  <c r="E17" i="2"/>
  <c r="C17" i="2"/>
  <c r="G16" i="2"/>
  <c r="F16" i="2"/>
  <c r="E16" i="2"/>
  <c r="C16" i="2"/>
  <c r="G15" i="2"/>
  <c r="F15" i="2"/>
  <c r="E15" i="2"/>
  <c r="C15" i="2"/>
  <c r="G14" i="2"/>
  <c r="F14" i="2"/>
  <c r="E14" i="2"/>
  <c r="C14" i="2"/>
  <c r="G13" i="2"/>
  <c r="F13" i="2"/>
  <c r="E13" i="2"/>
  <c r="C13" i="2"/>
  <c r="G12" i="2"/>
  <c r="F12" i="2"/>
  <c r="E12" i="2"/>
  <c r="C12" i="2"/>
  <c r="G11" i="2"/>
  <c r="F11" i="2"/>
  <c r="E11" i="2"/>
  <c r="E10" i="2"/>
  <c r="F10" i="2"/>
  <c r="G10" i="2"/>
  <c r="C11" i="2"/>
  <c r="C10" i="2"/>
  <c r="E39" i="2" l="1"/>
  <c r="L281" i="2"/>
  <c r="L282" i="2" s="1"/>
  <c r="E40" i="2"/>
  <c r="M281" i="2"/>
  <c r="M282" i="2" s="1"/>
  <c r="E41" i="2"/>
  <c r="N281" i="2"/>
  <c r="N282" i="2" s="1"/>
  <c r="E42" i="2"/>
  <c r="O281" i="2"/>
  <c r="O282" i="2" s="1"/>
  <c r="E43" i="2"/>
  <c r="P281" i="2"/>
  <c r="P282" i="2" s="1"/>
  <c r="E44" i="2"/>
  <c r="Q281" i="2"/>
  <c r="Q282" i="2" s="1"/>
  <c r="E45" i="2"/>
  <c r="R281" i="2"/>
  <c r="R282" i="2" s="1"/>
  <c r="E46" i="2"/>
  <c r="S281" i="2"/>
  <c r="S282" i="2" s="1"/>
  <c r="E47" i="2"/>
  <c r="T281" i="2"/>
  <c r="E256" i="2"/>
  <c r="E252" i="2"/>
  <c r="E251" i="2"/>
  <c r="E254" i="2"/>
  <c r="E250" i="2"/>
  <c r="E255" i="2"/>
  <c r="E207" i="2"/>
  <c r="E257" i="2"/>
  <c r="E253" i="2"/>
  <c r="E249" i="2"/>
  <c r="E215" i="2"/>
  <c r="E211" i="2"/>
  <c r="E214" i="2"/>
  <c r="E210" i="2"/>
  <c r="E213" i="2"/>
  <c r="E209" i="2"/>
  <c r="E212" i="2"/>
  <c r="E208" i="2"/>
  <c r="E171" i="2"/>
  <c r="E167" i="2"/>
  <c r="E168" i="2"/>
  <c r="E170" i="2"/>
  <c r="E166" i="2"/>
  <c r="E172" i="2"/>
  <c r="E173" i="2"/>
  <c r="E169" i="2"/>
  <c r="E165" i="2"/>
  <c r="E129" i="2"/>
  <c r="E125" i="2"/>
  <c r="E126" i="2"/>
  <c r="E128" i="2"/>
  <c r="E124" i="2"/>
  <c r="E130" i="2"/>
  <c r="E131" i="2"/>
  <c r="E127" i="2"/>
  <c r="E123" i="2"/>
  <c r="E88" i="2"/>
  <c r="E84" i="2"/>
  <c r="E86" i="2"/>
  <c r="E82" i="2"/>
  <c r="E87" i="2"/>
  <c r="E83" i="2"/>
  <c r="E89" i="2"/>
  <c r="E85" i="2"/>
  <c r="E81" i="2"/>
  <c r="H62" i="36"/>
  <c r="I257" i="2" s="1"/>
  <c r="G62" i="36"/>
  <c r="H257" i="2" s="1"/>
  <c r="F62" i="36"/>
  <c r="G257" i="2" s="1"/>
  <c r="E62" i="36"/>
  <c r="H61" i="36"/>
  <c r="I215" i="2" s="1"/>
  <c r="G61" i="36"/>
  <c r="H215" i="2" s="1"/>
  <c r="F61" i="36"/>
  <c r="G215" i="2" s="1"/>
  <c r="E61" i="36"/>
  <c r="H60" i="36"/>
  <c r="I173" i="2" s="1"/>
  <c r="G60" i="36"/>
  <c r="H173" i="2" s="1"/>
  <c r="F60" i="36"/>
  <c r="G173" i="2" s="1"/>
  <c r="E60" i="36"/>
  <c r="H59" i="36"/>
  <c r="I131" i="2" s="1"/>
  <c r="G59" i="36"/>
  <c r="H131" i="2" s="1"/>
  <c r="F59" i="36"/>
  <c r="G131" i="2" s="1"/>
  <c r="E59" i="36"/>
  <c r="H58" i="36"/>
  <c r="I89" i="2" s="1"/>
  <c r="G58" i="36"/>
  <c r="H89" i="2" s="1"/>
  <c r="F58" i="36"/>
  <c r="G89" i="2" s="1"/>
  <c r="E58" i="36"/>
  <c r="H57" i="36"/>
  <c r="I47" i="2" s="1"/>
  <c r="G57" i="36"/>
  <c r="H47" i="2" s="1"/>
  <c r="F57" i="36"/>
  <c r="G47" i="2" s="1"/>
  <c r="E57" i="36"/>
  <c r="H62" i="35"/>
  <c r="I256" i="2" s="1"/>
  <c r="G62" i="35"/>
  <c r="H256" i="2" s="1"/>
  <c r="F62" i="35"/>
  <c r="G256" i="2" s="1"/>
  <c r="E62" i="35"/>
  <c r="H61" i="35"/>
  <c r="I214" i="2" s="1"/>
  <c r="G61" i="35"/>
  <c r="H214" i="2" s="1"/>
  <c r="F61" i="35"/>
  <c r="G214" i="2" s="1"/>
  <c r="E61" i="35"/>
  <c r="H60" i="35"/>
  <c r="I172" i="2" s="1"/>
  <c r="G60" i="35"/>
  <c r="H172" i="2" s="1"/>
  <c r="F60" i="35"/>
  <c r="G172" i="2" s="1"/>
  <c r="E60" i="35"/>
  <c r="H59" i="35"/>
  <c r="I130" i="2" s="1"/>
  <c r="G59" i="35"/>
  <c r="H130" i="2" s="1"/>
  <c r="F59" i="35"/>
  <c r="G130" i="2" s="1"/>
  <c r="E59" i="35"/>
  <c r="H58" i="35"/>
  <c r="I88" i="2" s="1"/>
  <c r="G58" i="35"/>
  <c r="H88" i="2" s="1"/>
  <c r="F58" i="35"/>
  <c r="G88" i="2" s="1"/>
  <c r="E58" i="35"/>
  <c r="H57" i="35"/>
  <c r="I46" i="2" s="1"/>
  <c r="G57" i="35"/>
  <c r="H46" i="2" s="1"/>
  <c r="F57" i="35"/>
  <c r="G46" i="2" s="1"/>
  <c r="E57" i="35"/>
  <c r="H62" i="34"/>
  <c r="I255" i="2" s="1"/>
  <c r="G62" i="34"/>
  <c r="H255" i="2" s="1"/>
  <c r="F62" i="34"/>
  <c r="G255" i="2" s="1"/>
  <c r="E62" i="34"/>
  <c r="H61" i="34"/>
  <c r="I213" i="2" s="1"/>
  <c r="G61" i="34"/>
  <c r="H213" i="2" s="1"/>
  <c r="F61" i="34"/>
  <c r="G213" i="2" s="1"/>
  <c r="E61" i="34"/>
  <c r="H60" i="34"/>
  <c r="I171" i="2" s="1"/>
  <c r="G60" i="34"/>
  <c r="H171" i="2" s="1"/>
  <c r="F60" i="34"/>
  <c r="G171" i="2" s="1"/>
  <c r="E60" i="34"/>
  <c r="H59" i="34"/>
  <c r="I129" i="2" s="1"/>
  <c r="G59" i="34"/>
  <c r="H129" i="2" s="1"/>
  <c r="F59" i="34"/>
  <c r="G129" i="2" s="1"/>
  <c r="E59" i="34"/>
  <c r="H58" i="34"/>
  <c r="I87" i="2" s="1"/>
  <c r="G58" i="34"/>
  <c r="H87" i="2" s="1"/>
  <c r="F58" i="34"/>
  <c r="G87" i="2" s="1"/>
  <c r="E58" i="34"/>
  <c r="H57" i="34"/>
  <c r="I45" i="2" s="1"/>
  <c r="G57" i="34"/>
  <c r="H45" i="2" s="1"/>
  <c r="F57" i="34"/>
  <c r="G45" i="2" s="1"/>
  <c r="E57" i="34"/>
  <c r="H62" i="33"/>
  <c r="I254" i="2" s="1"/>
  <c r="G62" i="33"/>
  <c r="H254" i="2" s="1"/>
  <c r="F62" i="33"/>
  <c r="G254" i="2" s="1"/>
  <c r="E62" i="33"/>
  <c r="H61" i="33"/>
  <c r="I212" i="2" s="1"/>
  <c r="G61" i="33"/>
  <c r="H212" i="2" s="1"/>
  <c r="F61" i="33"/>
  <c r="G212" i="2" s="1"/>
  <c r="E61" i="33"/>
  <c r="H60" i="33"/>
  <c r="I170" i="2" s="1"/>
  <c r="G60" i="33"/>
  <c r="H170" i="2" s="1"/>
  <c r="F60" i="33"/>
  <c r="G170" i="2" s="1"/>
  <c r="E60" i="33"/>
  <c r="H59" i="33"/>
  <c r="I128" i="2" s="1"/>
  <c r="G59" i="33"/>
  <c r="H128" i="2" s="1"/>
  <c r="F59" i="33"/>
  <c r="G128" i="2" s="1"/>
  <c r="E59" i="33"/>
  <c r="H58" i="33"/>
  <c r="I86" i="2" s="1"/>
  <c r="G58" i="33"/>
  <c r="H86" i="2" s="1"/>
  <c r="F58" i="33"/>
  <c r="G86" i="2" s="1"/>
  <c r="E58" i="33"/>
  <c r="H57" i="33"/>
  <c r="I44" i="2" s="1"/>
  <c r="G57" i="33"/>
  <c r="H44" i="2" s="1"/>
  <c r="F57" i="33"/>
  <c r="G44" i="2" s="1"/>
  <c r="E57" i="33"/>
  <c r="H62" i="32"/>
  <c r="I253" i="2" s="1"/>
  <c r="G62" i="32"/>
  <c r="H253" i="2" s="1"/>
  <c r="F62" i="32"/>
  <c r="G253" i="2" s="1"/>
  <c r="E62" i="32"/>
  <c r="H61" i="32"/>
  <c r="I211" i="2" s="1"/>
  <c r="G61" i="32"/>
  <c r="H211" i="2" s="1"/>
  <c r="F61" i="32"/>
  <c r="G211" i="2" s="1"/>
  <c r="E61" i="32"/>
  <c r="H60" i="32"/>
  <c r="I169" i="2" s="1"/>
  <c r="G60" i="32"/>
  <c r="H169" i="2" s="1"/>
  <c r="F60" i="32"/>
  <c r="G169" i="2" s="1"/>
  <c r="E60" i="32"/>
  <c r="H59" i="32"/>
  <c r="I127" i="2" s="1"/>
  <c r="G59" i="32"/>
  <c r="H127" i="2" s="1"/>
  <c r="F59" i="32"/>
  <c r="G127" i="2" s="1"/>
  <c r="E59" i="32"/>
  <c r="H58" i="32"/>
  <c r="I85" i="2" s="1"/>
  <c r="G58" i="32"/>
  <c r="H85" i="2" s="1"/>
  <c r="F58" i="32"/>
  <c r="G85" i="2" s="1"/>
  <c r="E58" i="32"/>
  <c r="H57" i="32"/>
  <c r="I43" i="2" s="1"/>
  <c r="G57" i="32"/>
  <c r="H43" i="2" s="1"/>
  <c r="F57" i="32"/>
  <c r="G43" i="2" s="1"/>
  <c r="E57" i="32"/>
  <c r="H62" i="31"/>
  <c r="I252" i="2" s="1"/>
  <c r="G62" i="31"/>
  <c r="H252" i="2" s="1"/>
  <c r="F62" i="31"/>
  <c r="G252" i="2" s="1"/>
  <c r="E62" i="31"/>
  <c r="H61" i="31"/>
  <c r="I210" i="2" s="1"/>
  <c r="G61" i="31"/>
  <c r="H210" i="2" s="1"/>
  <c r="F61" i="31"/>
  <c r="G210" i="2" s="1"/>
  <c r="E61" i="31"/>
  <c r="H60" i="31"/>
  <c r="I168" i="2" s="1"/>
  <c r="G60" i="31"/>
  <c r="H168" i="2" s="1"/>
  <c r="F60" i="31"/>
  <c r="G168" i="2" s="1"/>
  <c r="E60" i="31"/>
  <c r="H59" i="31"/>
  <c r="I126" i="2" s="1"/>
  <c r="G59" i="31"/>
  <c r="H126" i="2" s="1"/>
  <c r="F59" i="31"/>
  <c r="G126" i="2" s="1"/>
  <c r="E59" i="31"/>
  <c r="H58" i="31"/>
  <c r="I84" i="2" s="1"/>
  <c r="G58" i="31"/>
  <c r="H84" i="2" s="1"/>
  <c r="F58" i="31"/>
  <c r="G84" i="2" s="1"/>
  <c r="E58" i="31"/>
  <c r="H57" i="31"/>
  <c r="I42" i="2" s="1"/>
  <c r="G57" i="31"/>
  <c r="H42" i="2" s="1"/>
  <c r="F57" i="31"/>
  <c r="G42" i="2" s="1"/>
  <c r="E57" i="31"/>
  <c r="H62" i="30"/>
  <c r="I251" i="2" s="1"/>
  <c r="G62" i="30"/>
  <c r="H251" i="2" s="1"/>
  <c r="F62" i="30"/>
  <c r="G251" i="2" s="1"/>
  <c r="E62" i="30"/>
  <c r="H61" i="30"/>
  <c r="I209" i="2" s="1"/>
  <c r="G61" i="30"/>
  <c r="H209" i="2" s="1"/>
  <c r="F61" i="30"/>
  <c r="G209" i="2" s="1"/>
  <c r="E61" i="30"/>
  <c r="H60" i="30"/>
  <c r="I167" i="2" s="1"/>
  <c r="G60" i="30"/>
  <c r="H167" i="2" s="1"/>
  <c r="F60" i="30"/>
  <c r="G167" i="2" s="1"/>
  <c r="E60" i="30"/>
  <c r="H59" i="30"/>
  <c r="I125" i="2" s="1"/>
  <c r="G59" i="30"/>
  <c r="H125" i="2" s="1"/>
  <c r="F59" i="30"/>
  <c r="G125" i="2" s="1"/>
  <c r="E59" i="30"/>
  <c r="H58" i="30"/>
  <c r="I83" i="2" s="1"/>
  <c r="G58" i="30"/>
  <c r="H83" i="2" s="1"/>
  <c r="F58" i="30"/>
  <c r="G83" i="2" s="1"/>
  <c r="E58" i="30"/>
  <c r="H57" i="30"/>
  <c r="I41" i="2" s="1"/>
  <c r="G57" i="30"/>
  <c r="H41" i="2" s="1"/>
  <c r="F57" i="30"/>
  <c r="G41" i="2" s="1"/>
  <c r="E57" i="30"/>
  <c r="H62" i="29"/>
  <c r="I250" i="2" s="1"/>
  <c r="G62" i="29"/>
  <c r="H250" i="2" s="1"/>
  <c r="F62" i="29"/>
  <c r="G250" i="2" s="1"/>
  <c r="E62" i="29"/>
  <c r="H61" i="29"/>
  <c r="I208" i="2" s="1"/>
  <c r="G61" i="29"/>
  <c r="H208" i="2" s="1"/>
  <c r="F61" i="29"/>
  <c r="G208" i="2" s="1"/>
  <c r="E61" i="29"/>
  <c r="H60" i="29"/>
  <c r="I166" i="2" s="1"/>
  <c r="G60" i="29"/>
  <c r="H166" i="2" s="1"/>
  <c r="F60" i="29"/>
  <c r="G166" i="2" s="1"/>
  <c r="E60" i="29"/>
  <c r="H59" i="29"/>
  <c r="I124" i="2" s="1"/>
  <c r="G59" i="29"/>
  <c r="H124" i="2" s="1"/>
  <c r="F59" i="29"/>
  <c r="G124" i="2" s="1"/>
  <c r="E59" i="29"/>
  <c r="H58" i="29"/>
  <c r="I82" i="2" s="1"/>
  <c r="G58" i="29"/>
  <c r="H82" i="2" s="1"/>
  <c r="F58" i="29"/>
  <c r="G82" i="2" s="1"/>
  <c r="E58" i="29"/>
  <c r="H57" i="29"/>
  <c r="I40" i="2" s="1"/>
  <c r="G57" i="29"/>
  <c r="H40" i="2" s="1"/>
  <c r="F57" i="29"/>
  <c r="G40" i="2" s="1"/>
  <c r="E57" i="29"/>
  <c r="H62" i="28"/>
  <c r="I249" i="2" s="1"/>
  <c r="G62" i="28"/>
  <c r="H249" i="2" s="1"/>
  <c r="F62" i="28"/>
  <c r="G249" i="2" s="1"/>
  <c r="E62" i="28"/>
  <c r="H61" i="28"/>
  <c r="I207" i="2" s="1"/>
  <c r="G61" i="28"/>
  <c r="H207" i="2" s="1"/>
  <c r="F61" i="28"/>
  <c r="G207" i="2" s="1"/>
  <c r="E61" i="28"/>
  <c r="H60" i="28"/>
  <c r="I165" i="2" s="1"/>
  <c r="G60" i="28"/>
  <c r="H165" i="2" s="1"/>
  <c r="F60" i="28"/>
  <c r="G165" i="2" s="1"/>
  <c r="E60" i="28"/>
  <c r="H59" i="28"/>
  <c r="I123" i="2" s="1"/>
  <c r="G59" i="28"/>
  <c r="H123" i="2" s="1"/>
  <c r="F59" i="28"/>
  <c r="G123" i="2" s="1"/>
  <c r="E59" i="28"/>
  <c r="H58" i="28"/>
  <c r="I81" i="2" s="1"/>
  <c r="G58" i="28"/>
  <c r="H81" i="2" s="1"/>
  <c r="F58" i="28"/>
  <c r="G81" i="2" s="1"/>
  <c r="E58" i="28"/>
  <c r="H57" i="28"/>
  <c r="I39" i="2" s="1"/>
  <c r="G57" i="28"/>
  <c r="H39" i="2" s="1"/>
  <c r="F57" i="28"/>
  <c r="G39" i="2" s="1"/>
  <c r="E57" i="28"/>
  <c r="I57" i="28" l="1"/>
  <c r="F39" i="2"/>
  <c r="I58" i="28"/>
  <c r="F81" i="2"/>
  <c r="I59" i="28"/>
  <c r="F123" i="2"/>
  <c r="I60" i="28"/>
  <c r="F165" i="2"/>
  <c r="I61" i="28"/>
  <c r="F207" i="2"/>
  <c r="I62" i="28"/>
  <c r="F249" i="2"/>
  <c r="I57" i="29"/>
  <c r="F40" i="2"/>
  <c r="I58" i="29"/>
  <c r="F82" i="2"/>
  <c r="I59" i="29"/>
  <c r="F124" i="2"/>
  <c r="I60" i="29"/>
  <c r="F166" i="2"/>
  <c r="I61" i="29"/>
  <c r="F208" i="2"/>
  <c r="I62" i="29"/>
  <c r="F250" i="2"/>
  <c r="I57" i="30"/>
  <c r="F41" i="2"/>
  <c r="I58" i="30"/>
  <c r="F83" i="2"/>
  <c r="I59" i="30"/>
  <c r="F125" i="2"/>
  <c r="I60" i="30"/>
  <c r="F167" i="2"/>
  <c r="I61" i="30"/>
  <c r="F209" i="2"/>
  <c r="I62" i="30"/>
  <c r="F251" i="2"/>
  <c r="I57" i="31"/>
  <c r="F42" i="2"/>
  <c r="I58" i="31"/>
  <c r="F84" i="2"/>
  <c r="I59" i="31"/>
  <c r="F126" i="2"/>
  <c r="I60" i="31"/>
  <c r="F168" i="2"/>
  <c r="I61" i="31"/>
  <c r="F210" i="2"/>
  <c r="I62" i="31"/>
  <c r="F252" i="2"/>
  <c r="I57" i="32"/>
  <c r="F43" i="2"/>
  <c r="I58" i="32"/>
  <c r="F85" i="2"/>
  <c r="I59" i="32"/>
  <c r="F127" i="2"/>
  <c r="I60" i="32"/>
  <c r="F169" i="2"/>
  <c r="I61" i="32"/>
  <c r="F211" i="2"/>
  <c r="I62" i="32"/>
  <c r="F253" i="2"/>
  <c r="I57" i="33"/>
  <c r="F44" i="2"/>
  <c r="I58" i="33"/>
  <c r="F86" i="2"/>
  <c r="I59" i="33"/>
  <c r="F128" i="2"/>
  <c r="I60" i="33"/>
  <c r="F170" i="2"/>
  <c r="I61" i="33"/>
  <c r="F212" i="2"/>
  <c r="I62" i="33"/>
  <c r="F254" i="2"/>
  <c r="I58" i="34"/>
  <c r="F87" i="2"/>
  <c r="I59" i="34"/>
  <c r="F129" i="2"/>
  <c r="I60" i="34"/>
  <c r="F171" i="2"/>
  <c r="I61" i="34"/>
  <c r="F213" i="2"/>
  <c r="I62" i="34"/>
  <c r="F255" i="2"/>
  <c r="I58" i="35"/>
  <c r="F88" i="2"/>
  <c r="I59" i="35"/>
  <c r="F130" i="2"/>
  <c r="I60" i="35"/>
  <c r="F172" i="2"/>
  <c r="I61" i="35"/>
  <c r="F214" i="2"/>
  <c r="I62" i="35"/>
  <c r="F256" i="2"/>
  <c r="I62" i="36"/>
  <c r="F257" i="2"/>
  <c r="I61" i="36"/>
  <c r="F215" i="2"/>
  <c r="I60" i="36"/>
  <c r="F173" i="2"/>
  <c r="I58" i="36"/>
  <c r="F89" i="2"/>
  <c r="I59" i="36"/>
  <c r="F131" i="2"/>
  <c r="I57" i="34"/>
  <c r="F45" i="2"/>
  <c r="I57" i="35"/>
  <c r="F46" i="2"/>
  <c r="I57" i="36"/>
  <c r="F47" i="2"/>
  <c r="C7" i="12"/>
  <c r="D7" i="12"/>
  <c r="E7" i="12"/>
  <c r="C8" i="12"/>
  <c r="D8" i="12"/>
  <c r="E8" i="12"/>
  <c r="C9" i="12"/>
  <c r="D9" i="12"/>
  <c r="E9" i="12"/>
  <c r="C10" i="12"/>
  <c r="D10" i="12"/>
  <c r="E10" i="12"/>
  <c r="C11" i="12"/>
  <c r="D11" i="12"/>
  <c r="E11" i="12"/>
  <c r="C12" i="12"/>
  <c r="D12" i="12"/>
  <c r="E12" i="12"/>
  <c r="B8" i="12"/>
  <c r="B9" i="12"/>
  <c r="B10" i="12"/>
  <c r="B11" i="12"/>
  <c r="B12" i="12"/>
  <c r="B7" i="12"/>
  <c r="H62" i="20" l="1"/>
  <c r="I248" i="2" s="1"/>
  <c r="G62" i="20"/>
  <c r="H248" i="2" s="1"/>
  <c r="F62" i="20"/>
  <c r="G248" i="2" s="1"/>
  <c r="E62" i="20"/>
  <c r="H61" i="20"/>
  <c r="I206" i="2" s="1"/>
  <c r="G61" i="20"/>
  <c r="H206" i="2" s="1"/>
  <c r="F61" i="20"/>
  <c r="G206" i="2" s="1"/>
  <c r="E61" i="20"/>
  <c r="H60" i="20"/>
  <c r="I164" i="2" s="1"/>
  <c r="G60" i="20"/>
  <c r="H164" i="2" s="1"/>
  <c r="F60" i="20"/>
  <c r="G164" i="2" s="1"/>
  <c r="E60" i="20"/>
  <c r="H62" i="19"/>
  <c r="I247" i="2" s="1"/>
  <c r="G62" i="19"/>
  <c r="H247" i="2" s="1"/>
  <c r="F62" i="19"/>
  <c r="G247" i="2" s="1"/>
  <c r="E62" i="19"/>
  <c r="H61" i="19"/>
  <c r="G61" i="19"/>
  <c r="F61" i="19"/>
  <c r="E61" i="19"/>
  <c r="H60" i="19"/>
  <c r="G60" i="19"/>
  <c r="F60" i="19"/>
  <c r="E60" i="19"/>
  <c r="H62" i="18"/>
  <c r="I246" i="2" s="1"/>
  <c r="G62" i="18"/>
  <c r="H246" i="2" s="1"/>
  <c r="F62" i="18"/>
  <c r="G246" i="2" s="1"/>
  <c r="E62" i="18"/>
  <c r="H61" i="18"/>
  <c r="I204" i="2" s="1"/>
  <c r="G61" i="18"/>
  <c r="H204" i="2" s="1"/>
  <c r="F61" i="18"/>
  <c r="G204" i="2" s="1"/>
  <c r="E61" i="18"/>
  <c r="H60" i="18"/>
  <c r="I162" i="2" s="1"/>
  <c r="G60" i="18"/>
  <c r="H162" i="2" s="1"/>
  <c r="F60" i="18"/>
  <c r="G162" i="2" s="1"/>
  <c r="E60" i="18"/>
  <c r="H62" i="13"/>
  <c r="I245" i="2" s="1"/>
  <c r="G62" i="13"/>
  <c r="H245" i="2" s="1"/>
  <c r="F62" i="13"/>
  <c r="G245" i="2" s="1"/>
  <c r="E62" i="13"/>
  <c r="H61" i="13"/>
  <c r="I203" i="2" s="1"/>
  <c r="G61" i="13"/>
  <c r="H203" i="2" s="1"/>
  <c r="F61" i="13"/>
  <c r="G203" i="2" s="1"/>
  <c r="E61" i="13"/>
  <c r="H60" i="13"/>
  <c r="I161" i="2" s="1"/>
  <c r="G60" i="13"/>
  <c r="H161" i="2" s="1"/>
  <c r="F60" i="13"/>
  <c r="G161" i="2" s="1"/>
  <c r="E60" i="13"/>
  <c r="H62" i="14"/>
  <c r="I244" i="2" s="1"/>
  <c r="G62" i="14"/>
  <c r="H244" i="2" s="1"/>
  <c r="F62" i="14"/>
  <c r="G244" i="2" s="1"/>
  <c r="E62" i="14"/>
  <c r="H61" i="14"/>
  <c r="I202" i="2" s="1"/>
  <c r="G61" i="14"/>
  <c r="H202" i="2" s="1"/>
  <c r="F61" i="14"/>
  <c r="G202" i="2" s="1"/>
  <c r="E61" i="14"/>
  <c r="H60" i="14"/>
  <c r="I160" i="2" s="1"/>
  <c r="G60" i="14"/>
  <c r="H160" i="2" s="1"/>
  <c r="F60" i="14"/>
  <c r="G160" i="2" s="1"/>
  <c r="E60" i="14"/>
  <c r="H61" i="17"/>
  <c r="I201" i="2" s="1"/>
  <c r="G61" i="17"/>
  <c r="H201" i="2" s="1"/>
  <c r="F61" i="17"/>
  <c r="G201" i="2" s="1"/>
  <c r="E61" i="17"/>
  <c r="E58" i="17"/>
  <c r="H60" i="17"/>
  <c r="I159" i="2" s="1"/>
  <c r="G60" i="17"/>
  <c r="H159" i="2" s="1"/>
  <c r="F60" i="17"/>
  <c r="G159" i="2" s="1"/>
  <c r="E60" i="17"/>
  <c r="A8" i="12"/>
  <c r="A9" i="12"/>
  <c r="A10" i="12"/>
  <c r="A11" i="12"/>
  <c r="A12" i="12"/>
  <c r="A7" i="12"/>
  <c r="B2" i="12"/>
  <c r="F159" i="2" l="1"/>
  <c r="I60" i="17"/>
  <c r="F201" i="2"/>
  <c r="I61" i="17"/>
  <c r="I60" i="14"/>
  <c r="F160" i="2"/>
  <c r="I61" i="14"/>
  <c r="F202" i="2"/>
  <c r="I62" i="14"/>
  <c r="F244" i="2"/>
  <c r="I60" i="13"/>
  <c r="F161" i="2"/>
  <c r="I61" i="13"/>
  <c r="F203" i="2"/>
  <c r="I62" i="13"/>
  <c r="F245" i="2"/>
  <c r="I60" i="18"/>
  <c r="F162" i="2"/>
  <c r="I61" i="18"/>
  <c r="F204" i="2"/>
  <c r="I62" i="18"/>
  <c r="F246" i="2"/>
  <c r="I60" i="19"/>
  <c r="F163" i="2"/>
  <c r="I61" i="19"/>
  <c r="F205" i="2"/>
  <c r="G205" i="2"/>
  <c r="G163" i="2"/>
  <c r="H205" i="2"/>
  <c r="H163" i="2"/>
  <c r="I205" i="2"/>
  <c r="I163" i="2"/>
  <c r="I62" i="19"/>
  <c r="F247" i="2"/>
  <c r="I60" i="20"/>
  <c r="F164" i="2"/>
  <c r="I61" i="20"/>
  <c r="F206" i="2"/>
  <c r="I62" i="20"/>
  <c r="F248" i="2"/>
  <c r="E153" i="2"/>
  <c r="H11" i="36"/>
  <c r="H11" i="30"/>
  <c r="H11" i="28"/>
  <c r="H11" i="31"/>
  <c r="H11" i="33"/>
  <c r="H11" i="35"/>
  <c r="H11" i="32"/>
  <c r="H11" i="34"/>
  <c r="H11" i="29"/>
  <c r="F11" i="20"/>
  <c r="F11" i="36"/>
  <c r="F11" i="28"/>
  <c r="F11" i="29"/>
  <c r="F11" i="32"/>
  <c r="F11" i="33"/>
  <c r="F11" i="34"/>
  <c r="F11" i="35"/>
  <c r="F11" i="30"/>
  <c r="F11" i="31"/>
  <c r="B2" i="34"/>
  <c r="B2" i="35"/>
  <c r="B2" i="31"/>
  <c r="B2" i="32"/>
  <c r="B2" i="36"/>
  <c r="B2" i="28"/>
  <c r="B2" i="29"/>
  <c r="B2" i="30"/>
  <c r="B2" i="33"/>
  <c r="E27" i="2"/>
  <c r="E11" i="35"/>
  <c r="E11" i="34"/>
  <c r="E11" i="36"/>
  <c r="E11" i="28"/>
  <c r="E11" i="30"/>
  <c r="E11" i="31"/>
  <c r="E11" i="29"/>
  <c r="E11" i="32"/>
  <c r="E11" i="33"/>
  <c r="G11" i="20"/>
  <c r="G11" i="29"/>
  <c r="G11" i="30"/>
  <c r="G11" i="33"/>
  <c r="G11" i="28"/>
  <c r="G11" i="31"/>
  <c r="G11" i="32"/>
  <c r="G11" i="34"/>
  <c r="G11" i="35"/>
  <c r="G11" i="36"/>
  <c r="J11" i="17"/>
  <c r="J11" i="32"/>
  <c r="J11" i="33"/>
  <c r="J11" i="35"/>
  <c r="J11" i="36"/>
  <c r="J11" i="29"/>
  <c r="J11" i="31"/>
  <c r="J11" i="34"/>
  <c r="J11" i="28"/>
  <c r="J11" i="30"/>
  <c r="I11" i="19"/>
  <c r="I11" i="30"/>
  <c r="I11" i="31"/>
  <c r="I11" i="32"/>
  <c r="I11" i="29"/>
  <c r="I11" i="33"/>
  <c r="I11" i="34"/>
  <c r="I11" i="35"/>
  <c r="I11" i="36"/>
  <c r="I11" i="28"/>
  <c r="E195" i="2"/>
  <c r="I11" i="18"/>
  <c r="I11" i="20"/>
  <c r="J11" i="13"/>
  <c r="I11" i="17"/>
  <c r="I11" i="14"/>
  <c r="F11" i="19"/>
  <c r="E237" i="2"/>
  <c r="F11" i="13"/>
  <c r="J11" i="19"/>
  <c r="H11" i="14"/>
  <c r="H11" i="18"/>
  <c r="H11" i="20"/>
  <c r="H11" i="17"/>
  <c r="E11" i="14"/>
  <c r="G11" i="13"/>
  <c r="E11" i="18"/>
  <c r="G11" i="19"/>
  <c r="E11" i="20"/>
  <c r="F11" i="14"/>
  <c r="J11" i="14"/>
  <c r="H11" i="13"/>
  <c r="F11" i="18"/>
  <c r="J11" i="18"/>
  <c r="H11" i="19"/>
  <c r="J11" i="20"/>
  <c r="G11" i="14"/>
  <c r="E11" i="13"/>
  <c r="I11" i="13"/>
  <c r="G11" i="18"/>
  <c r="E11" i="19"/>
  <c r="C5" i="2" l="1"/>
  <c r="E5" i="2"/>
  <c r="F5" i="2"/>
  <c r="E117" i="2" l="1"/>
  <c r="E33" i="2"/>
  <c r="F281" i="2"/>
  <c r="F282" i="2" s="1"/>
  <c r="E201" i="2"/>
  <c r="E75" i="2"/>
  <c r="E243" i="2"/>
  <c r="E159" i="2"/>
  <c r="A6" i="12"/>
  <c r="F11" i="17" l="1"/>
  <c r="E11" i="17"/>
  <c r="B2" i="20"/>
  <c r="B2" i="14"/>
  <c r="B2" i="17"/>
  <c r="B2" i="13"/>
  <c r="B2" i="19"/>
  <c r="B2" i="18"/>
  <c r="C2" i="2"/>
  <c r="G11" i="17"/>
  <c r="H57" i="20" l="1"/>
  <c r="I38" i="2" s="1"/>
  <c r="E57" i="18"/>
  <c r="F36" i="2" s="1"/>
  <c r="E57" i="17"/>
  <c r="E57" i="14"/>
  <c r="F34" i="2" s="1"/>
  <c r="E57" i="13"/>
  <c r="F35" i="2" s="1"/>
  <c r="E57" i="19"/>
  <c r="F37" i="2" s="1"/>
  <c r="E57" i="20"/>
  <c r="F38" i="2" s="1"/>
  <c r="G9" i="2"/>
  <c r="F9" i="2"/>
  <c r="E9" i="2"/>
  <c r="C9" i="2"/>
  <c r="G8" i="2"/>
  <c r="F8" i="2"/>
  <c r="E8" i="2"/>
  <c r="C8" i="2"/>
  <c r="H59" i="20"/>
  <c r="I122" i="2" s="1"/>
  <c r="G59" i="20"/>
  <c r="H122" i="2" s="1"/>
  <c r="F59" i="20"/>
  <c r="G122" i="2" s="1"/>
  <c r="E59" i="20"/>
  <c r="F122" i="2" s="1"/>
  <c r="H58" i="20"/>
  <c r="I80" i="2" s="1"/>
  <c r="G58" i="20"/>
  <c r="H80" i="2" s="1"/>
  <c r="F58" i="20"/>
  <c r="G80" i="2" s="1"/>
  <c r="E58" i="20"/>
  <c r="F80" i="2" s="1"/>
  <c r="G57" i="20"/>
  <c r="H38" i="2" s="1"/>
  <c r="F57" i="20"/>
  <c r="G38" i="2" s="1"/>
  <c r="H59" i="19"/>
  <c r="I121" i="2" s="1"/>
  <c r="G59" i="19"/>
  <c r="H121" i="2" s="1"/>
  <c r="F59" i="19"/>
  <c r="G121" i="2" s="1"/>
  <c r="E59" i="19"/>
  <c r="F121" i="2" s="1"/>
  <c r="H58" i="19"/>
  <c r="I79" i="2" s="1"/>
  <c r="G58" i="19"/>
  <c r="H79" i="2" s="1"/>
  <c r="F58" i="19"/>
  <c r="G79" i="2" s="1"/>
  <c r="E58" i="19"/>
  <c r="F79" i="2" s="1"/>
  <c r="H57" i="19"/>
  <c r="I37" i="2" s="1"/>
  <c r="G57" i="19"/>
  <c r="H37" i="2" s="1"/>
  <c r="F57" i="19"/>
  <c r="G37" i="2" s="1"/>
  <c r="H59" i="18"/>
  <c r="I120" i="2" s="1"/>
  <c r="G59" i="18"/>
  <c r="H120" i="2" s="1"/>
  <c r="F59" i="18"/>
  <c r="G120" i="2" s="1"/>
  <c r="E59" i="18"/>
  <c r="F120" i="2" s="1"/>
  <c r="H58" i="18"/>
  <c r="I78" i="2" s="1"/>
  <c r="G58" i="18"/>
  <c r="H78" i="2" s="1"/>
  <c r="F58" i="18"/>
  <c r="G78" i="2" s="1"/>
  <c r="E58" i="18"/>
  <c r="F78" i="2" s="1"/>
  <c r="H57" i="18"/>
  <c r="I36" i="2" s="1"/>
  <c r="G57" i="18"/>
  <c r="H36" i="2" s="1"/>
  <c r="F57" i="18"/>
  <c r="G36" i="2" s="1"/>
  <c r="F33" i="2" l="1"/>
  <c r="E246" i="2"/>
  <c r="E162" i="2"/>
  <c r="E78" i="2"/>
  <c r="I281" i="2"/>
  <c r="I282" i="2" s="1"/>
  <c r="E204" i="2"/>
  <c r="E120" i="2"/>
  <c r="E36" i="2"/>
  <c r="E37" i="2"/>
  <c r="J281" i="2"/>
  <c r="J282" i="2" s="1"/>
  <c r="E247" i="2"/>
  <c r="E163" i="2"/>
  <c r="E79" i="2"/>
  <c r="E205" i="2"/>
  <c r="E121" i="2"/>
  <c r="K281" i="2"/>
  <c r="K282" i="2" s="1"/>
  <c r="E206" i="2"/>
  <c r="E122" i="2"/>
  <c r="E38" i="2"/>
  <c r="E248" i="2"/>
  <c r="E164" i="2"/>
  <c r="E80" i="2"/>
  <c r="I58" i="19"/>
  <c r="I59" i="20"/>
  <c r="I58" i="20"/>
  <c r="I59" i="19"/>
  <c r="I59" i="18"/>
  <c r="I58" i="18"/>
  <c r="I57" i="20"/>
  <c r="I57" i="19"/>
  <c r="I57" i="18"/>
  <c r="E59" i="17"/>
  <c r="E62" i="17"/>
  <c r="F243" i="2" l="1"/>
  <c r="F117" i="2"/>
  <c r="G7" i="2"/>
  <c r="G6" i="2"/>
  <c r="G5" i="2"/>
  <c r="F7" i="2"/>
  <c r="F6" i="2"/>
  <c r="E7" i="2"/>
  <c r="E6" i="2"/>
  <c r="C7" i="2"/>
  <c r="C6" i="2"/>
  <c r="E111" i="2"/>
  <c r="E69" i="2"/>
  <c r="F57" i="17"/>
  <c r="G57" i="17"/>
  <c r="H33" i="2" s="1"/>
  <c r="H57" i="17"/>
  <c r="I33" i="2" s="1"/>
  <c r="H59" i="13"/>
  <c r="I119" i="2" s="1"/>
  <c r="H58" i="13"/>
  <c r="I77" i="2" s="1"/>
  <c r="H57" i="13"/>
  <c r="I35" i="2" s="1"/>
  <c r="G59" i="13"/>
  <c r="H119" i="2" s="1"/>
  <c r="G58" i="13"/>
  <c r="H77" i="2" s="1"/>
  <c r="G57" i="13"/>
  <c r="H35" i="2" s="1"/>
  <c r="F59" i="13"/>
  <c r="G119" i="2" s="1"/>
  <c r="F58" i="13"/>
  <c r="G77" i="2" s="1"/>
  <c r="F57" i="13"/>
  <c r="G35" i="2" s="1"/>
  <c r="E59" i="14"/>
  <c r="F118" i="2" s="1"/>
  <c r="F59" i="14"/>
  <c r="G118" i="2" s="1"/>
  <c r="G59" i="14"/>
  <c r="H118" i="2" s="1"/>
  <c r="H58" i="14"/>
  <c r="I76" i="2" s="1"/>
  <c r="H59" i="14"/>
  <c r="I118" i="2" s="1"/>
  <c r="E59" i="13"/>
  <c r="F119" i="2" s="1"/>
  <c r="E58" i="13"/>
  <c r="F77" i="2" s="1"/>
  <c r="H59" i="17"/>
  <c r="I117" i="2" s="1"/>
  <c r="G59" i="17"/>
  <c r="H117" i="2" s="1"/>
  <c r="F59" i="17"/>
  <c r="H62" i="17"/>
  <c r="I243" i="2" s="1"/>
  <c r="G62" i="17"/>
  <c r="H243" i="2" s="1"/>
  <c r="F62" i="17"/>
  <c r="H58" i="17"/>
  <c r="I75" i="2" s="1"/>
  <c r="G58" i="17"/>
  <c r="H75" i="2" s="1"/>
  <c r="F58" i="17"/>
  <c r="F75" i="2"/>
  <c r="G58" i="14"/>
  <c r="H76" i="2" s="1"/>
  <c r="F58" i="14"/>
  <c r="G76" i="2" s="1"/>
  <c r="E58" i="14"/>
  <c r="H57" i="14"/>
  <c r="I34" i="2" s="1"/>
  <c r="G57" i="14"/>
  <c r="H34" i="2" s="1"/>
  <c r="F57" i="14"/>
  <c r="G34" i="2" s="1"/>
  <c r="G75" i="2" l="1"/>
  <c r="I58" i="17"/>
  <c r="G243" i="2"/>
  <c r="I62" i="17"/>
  <c r="G117" i="2"/>
  <c r="I59" i="17"/>
  <c r="G33" i="2"/>
  <c r="I57" i="17"/>
  <c r="G20" i="2"/>
  <c r="G281" i="2"/>
  <c r="G282" i="2" s="1"/>
  <c r="E202" i="2"/>
  <c r="E118" i="2"/>
  <c r="E34" i="2"/>
  <c r="E244" i="2"/>
  <c r="E160" i="2"/>
  <c r="E76" i="2"/>
  <c r="E119" i="2"/>
  <c r="E77" i="2"/>
  <c r="E203" i="2"/>
  <c r="E35" i="2"/>
  <c r="H281" i="2"/>
  <c r="H282" i="2" s="1"/>
  <c r="E245" i="2"/>
  <c r="E161" i="2"/>
  <c r="I59" i="13"/>
  <c r="I59" i="14"/>
  <c r="I58" i="14"/>
  <c r="I58" i="13"/>
  <c r="F76" i="2"/>
  <c r="I57" i="13"/>
  <c r="I57" i="14"/>
  <c r="F48" i="2" l="1"/>
  <c r="I258" i="2"/>
  <c r="I216" i="2"/>
  <c r="I174" i="2"/>
  <c r="I132" i="2"/>
  <c r="I90" i="2"/>
  <c r="I48" i="2"/>
  <c r="G132" i="2"/>
  <c r="F258" i="2"/>
  <c r="F132" i="2"/>
  <c r="H258" i="2"/>
  <c r="H216" i="2"/>
  <c r="H174" i="2"/>
  <c r="H132" i="2"/>
  <c r="H90" i="2"/>
  <c r="H48" i="2"/>
  <c r="G174" i="2"/>
  <c r="G48" i="2"/>
  <c r="F174" i="2"/>
  <c r="G258" i="2"/>
  <c r="J258" i="2" s="1"/>
  <c r="J241" i="2" s="1"/>
  <c r="G216" i="2"/>
  <c r="G90" i="2"/>
  <c r="F216" i="2"/>
  <c r="F90" i="2"/>
  <c r="J90" i="2" s="1"/>
  <c r="J73" i="2" s="1"/>
  <c r="E281" i="2"/>
  <c r="J216" i="2" l="1"/>
  <c r="J199" i="2" s="1"/>
  <c r="J174" i="2"/>
  <c r="J157" i="2" s="1"/>
  <c r="J48" i="2"/>
  <c r="J31" i="2" s="1"/>
  <c r="J132" i="2"/>
  <c r="J115" i="2" s="1"/>
  <c r="T282" i="2"/>
  <c r="J28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Anibal Rueda</author>
  </authors>
  <commentList>
    <comment ref="K285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Anibal Rueda:</t>
        </r>
        <r>
          <rPr>
            <sz val="9"/>
            <color indexed="81"/>
            <rFont val="Tahoma"/>
            <family val="2"/>
          </rPr>
          <t xml:space="preserve">
Suceptible a modificaciones.</t>
        </r>
      </text>
    </comment>
  </commentList>
</comments>
</file>

<file path=xl/sharedStrings.xml><?xml version="1.0" encoding="utf-8"?>
<sst xmlns="http://schemas.openxmlformats.org/spreadsheetml/2006/main" count="4024" uniqueCount="191">
  <si>
    <t>Deficiente
(NO)</t>
  </si>
  <si>
    <t>Insuficiente
(SÍ, PERO...)</t>
  </si>
  <si>
    <t>Bueno
(SÍ)</t>
  </si>
  <si>
    <t>Sobresaliente
(SÍ  Y MÁS...)</t>
  </si>
  <si>
    <t>dsf</t>
  </si>
  <si>
    <t>RA1</t>
  </si>
  <si>
    <t xml:space="preserve"> La capacidad de operar los procesos de importación y exportación de acuerdo a la normatividad vigente.</t>
  </si>
  <si>
    <t>RA2</t>
  </si>
  <si>
    <t>La capacidad de operar la logística de entrada y la logística de salida dentro de la cadena de valor, aplicando los mecanismos de seguridad y calidad en el proceso.</t>
  </si>
  <si>
    <t>RA3</t>
  </si>
  <si>
    <t>Aplicar el pensamiento crítico y la habilidad para aportar en la solución de problemas en la cadena logística, teniendo en cuenta el contexto ambiental, cultural, social y económico de la empresa.</t>
  </si>
  <si>
    <t>RA4</t>
  </si>
  <si>
    <t>Participar eficazmente en un equipo de trabajo,  a través de la creación de un entorno colaborativo e inclusivo que permita apoyar en el cumplimiento de objetivos y organización de trabajos.</t>
  </si>
  <si>
    <t>RA5</t>
  </si>
  <si>
    <t>Trasmitir ideas, resultados, instrucciones, efectivamente con empleados, jefes, proveedores y clientes.</t>
  </si>
  <si>
    <t>SO1: Operar los procesos de importación y exportación de acuerdo a la normatividad vigente.</t>
  </si>
  <si>
    <t>Rúbrica SO (1)</t>
  </si>
  <si>
    <t>Identificar los procedimientos generales para exportación e importación de bienes, tanto al interior de la empresa como ante terceros.
(Claridad, pertinencia y coherencia)</t>
  </si>
  <si>
    <t>No identifica los procedimientos generales para exportaciones e importaciones.</t>
  </si>
  <si>
    <t>Identifica los procedimientos generales para exportaciones e importaciones, pero no con el nivel de claridad que se requiere.</t>
  </si>
  <si>
    <t>Identifica claramente los procedimientos generales para exportaciones e importaciones, teniendo en cuenta las consideraciones y variables del entorno</t>
  </si>
  <si>
    <t>Identifica claramente y en su totalidad los procedimientos generales para exportaciones e importaciones, teniendo en cuenta las consideraciones y variables del entorno, proponiendo nuevas necesidades y problemas que no habían sido evidenciados</t>
  </si>
  <si>
    <t>Clasificar los trámites para importación y exportación al interior de la empresa y ante organismos competentes . (Claridad, Pertinencia)</t>
  </si>
  <si>
    <t>No clasifica  los trámites para importación y exportación, al interior de la empresa y ante organismos competentes.</t>
  </si>
  <si>
    <t xml:space="preserve"> Clasifica los trámites para importaciones y exportaciones, al interior de la empresa y ante organismos competentes, pero no realiza la selección de la alternativa mas pertinente., teniendo en cuenta criterios y restricciones establecidas</t>
  </si>
  <si>
    <t>Clasifica  claramente  los trámites para importaciones y exportaciones, al interior de la empresa y ante organismos competentes, teniendo en cuenta al menos un criterio de selección y restricción</t>
  </si>
  <si>
    <t>Clasifica claramente  los trámites para importaciones y exportaciones, al interior de la empresa y ante organismos competentes,  a partir de mas de un criterio y restricción establecida</t>
  </si>
  <si>
    <t>Diligenciar adecuada y oportunamente la documentación relacionada con la legalización de los procesos de importación y exportación, atendiendo la legislación vigente. (Estructura, Pertinencia)</t>
  </si>
  <si>
    <t xml:space="preserve">No diligencia adecuada y oportunamente la documentación. </t>
  </si>
  <si>
    <t>Diligencia la documentación, pero cumpliendo solo uno de los criterios establecidos (es decir, el diligenciamiento es pertinente pero no es estructurado, o el diligenciamiento es estructurado pero no es pertinente.</t>
  </si>
  <si>
    <t>Diligencia la documentación de manera pertinente y estructurada, atendiendo la legislación pertinente, no obstante hay inexactitudes en el resultado.</t>
  </si>
  <si>
    <t>Diligencia la documentación de manera pertinente y estructurada, atendiendo la legislación pertinente y se cumple a cabalidad con el resultado.</t>
  </si>
  <si>
    <t>Verifica los procedimientos aplicando criterios para la rectificación de la información y documentación en las operaciones de importación e importación. (Pertinencia y Originalidad)</t>
  </si>
  <si>
    <t>No verifica ni rectifica los procedimientos.</t>
  </si>
  <si>
    <t>Verifica y rectifica parcialmente  los procedimientos,</t>
  </si>
  <si>
    <t>Verifica y rectifica los procedimientos, no obstante, se evidencian omisiones y/o errores en la documentación.</t>
  </si>
  <si>
    <t>Verifica y rectifica los procedimientos, cumpliendo con pertinencia la normatividad vigente.</t>
  </si>
  <si>
    <t>-</t>
  </si>
  <si>
    <t>SO2: La capacidad de operar la logística de entrada y la logística de salida dentro de la cadena de valor, aplicando los mecanismos de seguridad y calidad en el proceso.</t>
  </si>
  <si>
    <t>Rúbrica SO (2)</t>
  </si>
  <si>
    <t>Identificar los procedimientos generales en las operaciones de logística de entrada y la logística de salida dentro de la cadena de valor, aplicando los mecanismos de seguridad y calidad en el proceso.
(Claridad, pertinencia y coherencia)</t>
  </si>
  <si>
    <t>No identifica los procedimientos generales en las operaciones de logística de entrada y logística de salida.</t>
  </si>
  <si>
    <t>Identifica los procedimientos generales en las operaciones de logística de entrada y la logística de  salida, pero no con el nivel de claridad que se requiere.</t>
  </si>
  <si>
    <t>Identifica claramente los procedimientos generales en las operaciones de logística de entrada y la logística de  salidas, teniendo en cuenta las consideraciones y variables del entorno</t>
  </si>
  <si>
    <t>Identifica claramente y en su totalidad los procedimientos generales en las operaciones de logística de entrada y la logística de  salida, teniendo en cuenta las consideraciones y variables del entorno, proponiendo nuevas necesidades y problemas que no habían sido evidenciados</t>
  </si>
  <si>
    <t>Clasificar  los procedimientos generales para las operaciones de logística de entrada y la logística de salida dentro de la cadena de valor, aplicando los mecanismos de seguridad y calidad en el proceso.  (Claridad, Pertinencia)</t>
  </si>
  <si>
    <t>No clasifica operaciones de logística de entrada y la logística de salida.</t>
  </si>
  <si>
    <t xml:space="preserve"> Clasifica las operaciones de logística de entrada y la logística de salida, pero no realiza la selección de la alternativa mas pertinente., teniendo en cuenta criterios y restricciones establecidas</t>
  </si>
  <si>
    <t>Clasifica  claramente las operaciones de logística de entrada y la logística de salida, teniendo en cuenta al menos un criterio de selección y restricción</t>
  </si>
  <si>
    <t>Clasifica claramente  las operaciones de logística de entrada y la logística de salidas,  a partir de mas de un criterio y restricción establecida</t>
  </si>
  <si>
    <t>Desarrollar adecuada y oportunamente las operaciones la logística de entrada y la logística de salida dentro de la cadena de valor, aplicando los mecanismos de seguridad y calidad en el procesos. (Estructura, Pertinencia)</t>
  </si>
  <si>
    <t xml:space="preserve">No desarrolla adecuada y oportunamente las operaciones. </t>
  </si>
  <si>
    <t>Desarrolla las operaciones de logística de entrada y la logística de salida, pero cumpliendo solo uno de los criterios establecidos (es decir, el procedimiento  es pertinente pero no es estructurado, o las operaciones están estructurados pero no es pertinente.</t>
  </si>
  <si>
    <t>Diligencia la documentación de manera pertinente y estructurada, atendiendo la normatividad pertinente, no obstante, hay inexactitudes en el resultado esperado.</t>
  </si>
  <si>
    <t>Desarrolla adecuada y oportunamente las  operaciones de manera pertinente y estructurada, atendiendo a la normatividad  pertinente y se cumple a cabalidad con el resultado esperado.</t>
  </si>
  <si>
    <t>Verificar los procedimientos en las operaciones de logística de entrada y la logística de salida dentro de la cadena de valor, aplicando los mecanismos de seguridad y calidad en el procesos. (Pertinencia y Originalidad)</t>
  </si>
  <si>
    <t>No verifica ni rectifica las operaciones.</t>
  </si>
  <si>
    <t>Verifica y rectifica parcialmente  las operaciones.</t>
  </si>
  <si>
    <t>Verifica y rectifica los las operaciones de logística de entrada y salida, no obstante, se evidencian omisiones y/o errores en los procedimientos y en la documentación.</t>
  </si>
  <si>
    <t>Verifica y rectifica las operaciones, cumpliendo con pertinencia los requerimientos de acuerdo con los procedimientos.</t>
  </si>
  <si>
    <t xml:space="preserve">SO3: Aplicar el pensamiento crítico y la habilidad para aportar en la solución de problemas en la cadena logística, teniendo en cuenta el contexto ambiental, cultural, social y económico de la empresa. </t>
  </si>
  <si>
    <t>Rúbrica SO (3)</t>
  </si>
  <si>
    <t>Identifica las variables significativas del problema y las describe a través de herramientas de mejora continua en la cadena de suministro. (Estructurada)</t>
  </si>
  <si>
    <t>No identifica las variables significativas del problema y no las describe a través de herramientas  de mejora continua en la cadena de suministro.</t>
  </si>
  <si>
    <t>Identifica algunas variables, no todas son significativas, y la descripción a través de herramientas  de mejora continua en la cadena de suministro.</t>
  </si>
  <si>
    <t>Identifica las variables
 significativas del problema
 y las describe a través de 
herramientas de mejora continua en la cadena de suministro.</t>
  </si>
  <si>
    <t>Identifica las variables 
 significativas del problema
 y realiza una descripción estructurada, a través de 
herramientas de mejora continua en la cadena de suministro.</t>
  </si>
  <si>
    <t>Formula problemas complejos teniendo en cuenta las variables identificadas y los objetivos medibles y alcanzables. (pertinencia y rigurosidad)</t>
  </si>
  <si>
    <t>No es capaz de formular  problemas complejos teniendo en cuenta las variables identificadas y los objetivos medibles y alcanzables.</t>
  </si>
  <si>
    <t>Es capaz de formular problemas complejos pero se evidencia la falta de información pertinente relacionada a las variables significativas y/o objetivos medibles y alcanzables</t>
  </si>
  <si>
    <t>Formula problemas complejos teniendo en cuenta las variables identificadas y los objetivos medibles y alcanzables.</t>
  </si>
  <si>
    <t>Es capaz de formular problemas complejos de manera rigurosa teniendo en cuenta las variables identificadas y los objetivos medibles y alcanzables.</t>
  </si>
  <si>
    <t>Valorar posibles soluciones, a través de modelos, que satisfaga las necesidades, problemas y oportunidades identificadas  en la gestión de la cadena de valor. (Estructura, Pertinencia)</t>
  </si>
  <si>
    <t>No es capaz de resolver problemas complejos y no emplea técnicas de  mejora continua en la cadena de suministro.</t>
  </si>
  <si>
    <t>Resuelve problemas complejos sin tener coherencia con las  técnicas de mejora continua en la cadena de suministro.</t>
  </si>
  <si>
    <t>Valora la solución, de manera pertinente y estructurada, a través de modelos, que satisfaga las necesidades, problemas y oportunidades identificadas en el entorno.</t>
  </si>
  <si>
    <t>Valora la solución, de manera pertinente y estructurada, a través de modelos, que satisfacen las necesidades, problemas y oportunidades identificadas en el entorno, teniendo en consideración los impactos y beneficios esperados.</t>
  </si>
  <si>
    <t xml:space="preserve">SO4:  Participar eficazmente en un equipo de trabajo,  a través de la creación de un entorno colaborativo e inclusivo que permita apoyar en el cumplimiento de objetivos y organización de trabajos. </t>
  </si>
  <si>
    <t>Rúbrica SO (4)</t>
  </si>
  <si>
    <t>Explicar su punto de vista respetando el de los demás infiriendo conclusiones que beneficien el trabajo colaborativo e inclusivo.</t>
  </si>
  <si>
    <t>No explica su punto de vista y no respeta el de los demás afectando el trabajo colaborativo e inclusivo</t>
  </si>
  <si>
    <t>Explica su punto de vista con poca claridad sin respetar el punto de vista de los demás afectando levemente el trabajo colaborativo e inclusivo</t>
  </si>
  <si>
    <t>Explica su punto de vista respetando el de los demás beneficiando el trabajo colaborativo e inclusivo</t>
  </si>
  <si>
    <t>Explica con total claridad y coherencia su punto de vista respetando el de los demás beneficiando el trabajo colaborativo</t>
  </si>
  <si>
    <t>Planificar y construir su propio procedimiento de trabajo, estableciendo objetivos, tareas, roles y compromisos de los miembros del equipo.</t>
  </si>
  <si>
    <t>No evidencia la Planificación y construcción en equipo de su propio procedimiento de trabajo, estableciendo objetivos, tareas, roles y compromisos de los miembros del equipo</t>
  </si>
  <si>
    <t>Planifica pero no construye en equipo su propio procedimiento de trabajo</t>
  </si>
  <si>
    <t>Evidencia la planificación y construcción en equipo de su propio procedimiento de trabajo, estableciendo objetivos, tareas, roles y compromisos de los miembros del equipo</t>
  </si>
  <si>
    <t>Evidencia la Planificación y construcción en equipo de su propio procedimiento de trabajo, de manera clara, coherente, colaborativa e inclusiva (estableciendo objetivos, tareas, roles y compromisos de los miembros del equipo)</t>
  </si>
  <si>
    <t>Diseñar la solución, a través de modelos, que satisfaga las necesidades, problemas y oportunidades identificadas  en la gestión de la cadena de valor. (Estructura, Pertinencia)</t>
  </si>
  <si>
    <t>No Desarrolla las actividades en equipo, en función de los objetivos y las opiniones de cada integrante.</t>
  </si>
  <si>
    <t>Desarrolla parcialmente las actividades en equipo, en función de los objetivos y las opiniones de cada integrante.</t>
  </si>
  <si>
    <t>Diseñar la solución, de manera pertinente y estructurada, a través de modelos, que satisfaga las necesidades, problemas y oportunidades identificadas en el entorno.</t>
  </si>
  <si>
    <t>Diseña la solución, de manera pertinente y estructurada, a través de modelos, que satisfacen las necesidades, problemas y oportunidades identificadas en el entorno, teniendo en consideración los impactos y beneficios esperados.</t>
  </si>
  <si>
    <t>Integrar los aportes de los miembros para cumplir los objetivos.</t>
  </si>
  <si>
    <t>No Integra los aportes de los miembros para cumplir los objetivos.</t>
  </si>
  <si>
    <t>Integra los aportes del grupo, pero no tiene coherencia con los objetivos a cumplir</t>
  </si>
  <si>
    <t>Integra los aportes de los miembros para cumplir los objetivos.</t>
  </si>
  <si>
    <t>Integra los aportes de los miembros para cumplir los objetivos, de manera coherente, colaborativa e inclusiva.</t>
  </si>
  <si>
    <t>SO5: Trasmitir ideas, resultados, instrucciones,  efectivamente con empleados, jefes, proveedores y clientes.</t>
  </si>
  <si>
    <t>Rúbrica SO (5)</t>
  </si>
  <si>
    <t>Organiza la información. (Organización y Concisión)</t>
  </si>
  <si>
    <t>En  la presentación de la información hay confusión del orden lógico  de las ideas centrales y  secundarias, no hay organización de la secuencia estructural.</t>
  </si>
  <si>
    <t>Organiza la información con una estructura definida pero no es coherente con la presentación de los contenidos.</t>
  </si>
  <si>
    <t>Organiza la información con una estructura básica en gran parte de la presentación y orden general en las ideas.</t>
  </si>
  <si>
    <t>Organiza la información secuencialmente presentando   ideas centrales del tema  siguiendo estrictamente la estructura y el orden lógico de preámbulo o introducción, desarrollo del tema, conclusiones.</t>
  </si>
  <si>
    <t>Utiliza el lenguaje  de acuerdo a los términos propios del contexto y la audiencia a la que se dirige. (Estructura y Pertinencia)</t>
  </si>
  <si>
    <t>No utiliza vocabulario apropiado para el contexto y la audiencia.</t>
  </si>
  <si>
    <t xml:space="preserve">Utiliza el lenguaje de acuerdo al contexto pero no va de acuerdo con la audiencia a la que se dirige. </t>
  </si>
  <si>
    <t>Utiliza el lenguaje  de acuerdo a los términos propios del contexto y la audiencia a la que se dirige</t>
  </si>
  <si>
    <t>Usa un vocabulario amplio y sin repetir palabras, apropiado y pertinente para la audiencia. Es muy claro, y no es ambiguo,.</t>
  </si>
  <si>
    <t>No utiliza ningún recurso o los utilizados no son apropiados</t>
  </si>
  <si>
    <t>Utiliza las herramientas y recursos pero no es claro en lo que requiere comunicar</t>
  </si>
  <si>
    <t>Rúbrica SO (6)</t>
  </si>
  <si>
    <t>Rúbrica SO (7)</t>
  </si>
  <si>
    <t>REPORT ASSESSMENT PER STUDENT</t>
  </si>
  <si>
    <t>COURSE</t>
  </si>
  <si>
    <t>GROUP</t>
  </si>
  <si>
    <t>TOTAL STUDENTS</t>
  </si>
  <si>
    <t>Poor</t>
  </si>
  <si>
    <t>Inadequate</t>
  </si>
  <si>
    <t>PROFESSOR</t>
  </si>
  <si>
    <t>Adequate</t>
  </si>
  <si>
    <t>PERIOD</t>
  </si>
  <si>
    <t>Exemplary</t>
  </si>
  <si>
    <t>PERFORMANCE INDICATORS</t>
  </si>
  <si>
    <t>ID</t>
  </si>
  <si>
    <t>NUMBER ID</t>
  </si>
  <si>
    <t>STUDENT</t>
  </si>
  <si>
    <t xml:space="preserve"> </t>
  </si>
  <si>
    <t>PERFORMANCE LEVELS</t>
  </si>
  <si>
    <t>Performance Indicators</t>
  </si>
  <si>
    <t>Level 1 - Poor</t>
  </si>
  <si>
    <t>Level 2 - Inadequate</t>
  </si>
  <si>
    <t>Level 3 - Adequate</t>
  </si>
  <si>
    <t>Level 4 - Exemplary</t>
  </si>
  <si>
    <t>SO 5</t>
  </si>
  <si>
    <t>PI 1</t>
  </si>
  <si>
    <t>PI 2</t>
  </si>
  <si>
    <t>PI 3</t>
  </si>
  <si>
    <t>PI 4</t>
  </si>
  <si>
    <t>PI 5</t>
  </si>
  <si>
    <t>PI 6</t>
  </si>
  <si>
    <t>ANALYSIS OF RESULTS</t>
  </si>
  <si>
    <t>% PERFORMANCE LEVELS</t>
  </si>
  <si>
    <t xml:space="preserve">FINAL REPORT ASSESSMENT </t>
  </si>
  <si>
    <t>COURSES</t>
  </si>
  <si>
    <t>No STUDENTS</t>
  </si>
  <si>
    <t>TOT. STUD.</t>
  </si>
  <si>
    <t>LEADER OF SO</t>
  </si>
  <si>
    <t>REPORT ASSESSMENT PER PERFORMANCE INDICATOR</t>
  </si>
  <si>
    <t>PERFORMANCE INDICATOR: 1</t>
  </si>
  <si>
    <t>TOTAL PERCENTAGE - PI 1</t>
  </si>
  <si>
    <t>ANALYSIS PI 1:</t>
  </si>
  <si>
    <r>
      <rPr>
        <b/>
        <sz val="11"/>
        <rFont val="Calibri"/>
        <family val="2"/>
      </rPr>
      <t xml:space="preserve">&lt; Codigo_Modulo_1 &gt;: </t>
    </r>
    <r>
      <rPr>
        <sz val="11"/>
        <rFont val="Calibri"/>
        <family val="2"/>
      </rPr>
      <t xml:space="preserve"> &lt; Indique el analisis de los resultados encontrados en la medición &gt;
</t>
    </r>
    <r>
      <rPr>
        <b/>
        <sz val="11"/>
        <rFont val="Calibri"/>
        <family val="2"/>
      </rPr>
      <t xml:space="preserve">&lt; Codigo_Modulo_2 &gt;: </t>
    </r>
    <r>
      <rPr>
        <sz val="11"/>
        <rFont val="Calibri"/>
        <family val="2"/>
      </rPr>
      <t xml:space="preserve">  &lt; Indique el analisis de los resultados encontrados en la medición &gt;
</t>
    </r>
    <r>
      <rPr>
        <b/>
        <sz val="11"/>
        <rFont val="Calibri"/>
        <family val="2"/>
      </rPr>
      <t>&lt; Codigo_Modulo_3 &gt;:</t>
    </r>
    <r>
      <rPr>
        <sz val="11"/>
        <rFont val="Calibri"/>
        <family val="2"/>
      </rPr>
      <t xml:space="preserve">  &lt; Indique el analisis de los resultados encontrados en la medición &gt;</t>
    </r>
  </si>
  <si>
    <t>PERFORMANCE INDICATOR: 2</t>
  </si>
  <si>
    <t>TOTAL PERCENTAGE - PI 2</t>
  </si>
  <si>
    <t>ANALYSIS PI 2:</t>
  </si>
  <si>
    <t>PERFORMANCE INDICATOR: 3</t>
  </si>
  <si>
    <t>TOTAL PERCENTAGE - PI 3</t>
  </si>
  <si>
    <t>ANALYSIS PI 3:</t>
  </si>
  <si>
    <t>PERFORMANCE INDICATOR: 4</t>
  </si>
  <si>
    <t>TOTAL PERCENTAGE - PI 4</t>
  </si>
  <si>
    <t>ANALYSIS PI 4:</t>
  </si>
  <si>
    <t>PERFORMANCE INDICATOR: 5</t>
  </si>
  <si>
    <t>TOTAL PERCENTAGE - PI 5</t>
  </si>
  <si>
    <t>ANALYSIS PI 5:</t>
  </si>
  <si>
    <t>PERFORMANCE INDICATOR: 6</t>
  </si>
  <si>
    <t>TOTAL PERCENTAGE - PI 6</t>
  </si>
  <si>
    <t>ANALYSIS PI 6:</t>
  </si>
  <si>
    <t>CONSOLIDATED ASESSMENT SO</t>
  </si>
  <si>
    <t>% COMPLIANCE SO</t>
  </si>
  <si>
    <t>CONSOLIDATED</t>
  </si>
  <si>
    <t>GOAL</t>
  </si>
  <si>
    <t>STRENGTHS</t>
  </si>
  <si>
    <t>S1:</t>
  </si>
  <si>
    <t>S2:</t>
  </si>
  <si>
    <t>S3:</t>
  </si>
  <si>
    <t>WEAKNESS</t>
  </si>
  <si>
    <t>W1:</t>
  </si>
  <si>
    <t>W2:</t>
  </si>
  <si>
    <t>W3:</t>
  </si>
  <si>
    <t>RECOMMENDATIONS OF CURRICULAR CHANGES</t>
  </si>
  <si>
    <t>RCC1:</t>
  </si>
  <si>
    <t>RCC2:</t>
  </si>
  <si>
    <t>RCC3:</t>
  </si>
  <si>
    <t>IMPROVEMENT ACTIONS</t>
  </si>
  <si>
    <t>IA1:</t>
  </si>
  <si>
    <t>IA2:</t>
  </si>
  <si>
    <t>IA3:</t>
  </si>
  <si>
    <t>IA4: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</si>
</sst>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[$-240A]General"/>
  </numFmts>
  <fonts count="44" x14ac:knownFonts="1"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9"/>
      <color indexed="9"/>
      <name val="Calibri"/>
      <family val="2"/>
    </font>
    <font>
      <sz val="11"/>
      <name val="Verdana"/>
      <family val="2"/>
    </font>
    <font>
      <sz val="8"/>
      <color indexed="8"/>
      <name val="Calibri"/>
      <family val="2"/>
    </font>
    <font>
      <b/>
      <sz val="18"/>
      <color rgb="FFFFFFFF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  <scheme val="minor"/>
    </font>
    <font>
      <sz val="10"/>
      <color rgb="FF000000"/>
      <name val="Times New Roman"/>
      <family val="1"/>
    </font>
    <font>
      <sz val="8"/>
      <color theme="0"/>
      <name val="Calibri"/>
      <family val="2"/>
    </font>
    <font>
      <sz val="11"/>
      <color rgb="FFFF0000"/>
      <name val="Calibri"/>
      <family val="2"/>
    </font>
    <font>
      <sz val="8"/>
      <name val="Arial"/>
      <family val="2"/>
    </font>
    <font>
      <sz val="11"/>
      <color theme="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4"/>
      <color indexed="9"/>
      <name val="Calibri"/>
      <family val="2"/>
    </font>
    <font>
      <b/>
      <sz val="16"/>
      <color indexed="9"/>
      <name val="Calibri"/>
      <family val="2"/>
    </font>
    <font>
      <b/>
      <sz val="18"/>
      <color indexed="9"/>
      <name val="Calibri"/>
      <family val="2"/>
    </font>
    <font>
      <sz val="10"/>
      <color indexed="9"/>
      <name val="Calibri"/>
      <family val="2"/>
    </font>
    <font>
      <b/>
      <sz val="12"/>
      <name val="Arial"/>
      <family val="2"/>
    </font>
    <font>
      <sz val="12"/>
      <name val="Calibri"/>
      <family val="2"/>
    </font>
    <font>
      <b/>
      <sz val="14"/>
      <name val="Arial"/>
      <family val="2"/>
    </font>
    <font>
      <sz val="14"/>
      <name val="Calibri"/>
      <family val="2"/>
    </font>
    <font>
      <sz val="14"/>
      <color indexed="8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Arial"/>
      <family val="2"/>
    </font>
    <font>
      <b/>
      <sz val="16"/>
      <color theme="1"/>
      <name val="Calibri"/>
      <family val="2"/>
    </font>
    <font>
      <b/>
      <sz val="16"/>
      <color theme="1"/>
      <name val="Arial"/>
      <family val="2"/>
    </font>
    <font>
      <sz val="16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Calibri"/>
      <family val="2"/>
    </font>
    <font>
      <b/>
      <sz val="1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A86E8"/>
        <bgColor rgb="FF4A86E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C4587"/>
        <bgColor rgb="FF1C4587"/>
      </patternFill>
    </fill>
    <fill>
      <patternFill patternType="solid">
        <fgColor rgb="FFFFFF00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20" fillId="0" borderId="0"/>
    <xf numFmtId="166" fontId="21" fillId="0" borderId="0"/>
  </cellStyleXfs>
  <cellXfs count="221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5" fillId="5" borderId="1" xfId="0" applyFont="1" applyFill="1" applyBorder="1" applyAlignment="1">
      <alignment horizontal="center"/>
    </xf>
    <xf numFmtId="164" fontId="6" fillId="6" borderId="1" xfId="0" applyNumberFormat="1" applyFont="1" applyFill="1" applyBorder="1" applyAlignment="1">
      <alignment horizontal="center"/>
    </xf>
    <xf numFmtId="164" fontId="6" fillId="7" borderId="1" xfId="0" applyNumberFormat="1" applyFont="1" applyFill="1" applyBorder="1" applyAlignment="1">
      <alignment horizontal="center"/>
    </xf>
    <xf numFmtId="164" fontId="6" fillId="8" borderId="1" xfId="0" applyNumberFormat="1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9" fillId="0" borderId="0" xfId="0" applyFont="1"/>
    <xf numFmtId="2" fontId="9" fillId="0" borderId="0" xfId="0" applyNumberFormat="1" applyFont="1"/>
    <xf numFmtId="165" fontId="0" fillId="2" borderId="1" xfId="1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2" fillId="14" borderId="1" xfId="0" applyFont="1" applyFill="1" applyBorder="1" applyAlignment="1">
      <alignment horizontal="center" vertical="center" wrapText="1"/>
    </xf>
    <xf numFmtId="0" fontId="7" fillId="10" borderId="9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164" fontId="6" fillId="6" borderId="1" xfId="0" applyNumberFormat="1" applyFont="1" applyFill="1" applyBorder="1" applyAlignment="1">
      <alignment horizontal="center" vertical="center"/>
    </xf>
    <xf numFmtId="164" fontId="6" fillId="7" borderId="1" xfId="0" applyNumberFormat="1" applyFont="1" applyFill="1" applyBorder="1" applyAlignment="1">
      <alignment horizontal="center" vertical="center"/>
    </xf>
    <xf numFmtId="164" fontId="6" fillId="8" borderId="1" xfId="0" applyNumberFormat="1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0" xfId="0" applyFont="1" applyAlignment="1">
      <alignment horizontal="center" vertical="center" wrapText="1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14" fillId="0" borderId="0" xfId="0" applyNumberFormat="1" applyFont="1" applyAlignment="1">
      <alignment horizontal="center"/>
    </xf>
    <xf numFmtId="9" fontId="5" fillId="0" borderId="1" xfId="0" applyNumberFormat="1" applyFont="1" applyBorder="1" applyAlignment="1">
      <alignment horizontal="center"/>
    </xf>
    <xf numFmtId="0" fontId="4" fillId="12" borderId="0" xfId="0" applyFont="1" applyFill="1"/>
    <xf numFmtId="0" fontId="4" fillId="12" borderId="29" xfId="0" applyFont="1" applyFill="1" applyBorder="1"/>
    <xf numFmtId="0" fontId="16" fillId="0" borderId="0" xfId="0" applyFont="1" applyAlignment="1">
      <alignment horizontal="center" vertical="center" wrapText="1"/>
    </xf>
    <xf numFmtId="0" fontId="2" fillId="11" borderId="7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9" fontId="17" fillId="0" borderId="0" xfId="0" applyNumberFormat="1" applyFont="1"/>
    <xf numFmtId="9" fontId="17" fillId="0" borderId="0" xfId="0" applyNumberFormat="1" applyFont="1" applyAlignment="1">
      <alignment horizontal="center"/>
    </xf>
    <xf numFmtId="0" fontId="4" fillId="0" borderId="23" xfId="0" applyFont="1" applyBorder="1"/>
    <xf numFmtId="9" fontId="0" fillId="16" borderId="1" xfId="0" applyNumberFormat="1" applyFill="1" applyBorder="1" applyAlignment="1">
      <alignment horizontal="center"/>
    </xf>
    <xf numFmtId="0" fontId="4" fillId="0" borderId="23" xfId="0" applyFont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4" fillId="0" borderId="0" xfId="2" applyFont="1" applyAlignment="1">
      <alignment vertical="center"/>
    </xf>
    <xf numFmtId="0" fontId="20" fillId="0" borderId="0" xfId="2"/>
    <xf numFmtId="0" fontId="8" fillId="12" borderId="0" xfId="2" applyFont="1" applyFill="1" applyAlignment="1">
      <alignment horizontal="center" vertical="center"/>
    </xf>
    <xf numFmtId="0" fontId="10" fillId="13" borderId="21" xfId="2" applyFont="1" applyFill="1" applyBorder="1" applyAlignment="1">
      <alignment horizontal="center" vertical="center" wrapText="1"/>
    </xf>
    <xf numFmtId="0" fontId="11" fillId="13" borderId="21" xfId="2" applyFont="1" applyFill="1" applyBorder="1" applyAlignment="1">
      <alignment horizontal="center" vertical="center" wrapText="1"/>
    </xf>
    <xf numFmtId="0" fontId="11" fillId="13" borderId="21" xfId="2" applyFont="1" applyFill="1" applyBorder="1" applyAlignment="1">
      <alignment horizontal="left" vertical="center" wrapText="1"/>
    </xf>
    <xf numFmtId="0" fontId="4" fillId="0" borderId="21" xfId="2" applyFont="1" applyBorder="1" applyAlignment="1">
      <alignment horizontal="left" vertical="center" wrapText="1"/>
    </xf>
    <xf numFmtId="0" fontId="20" fillId="0" borderId="0" xfId="2" applyAlignment="1">
      <alignment vertical="center"/>
    </xf>
    <xf numFmtId="0" fontId="4" fillId="0" borderId="0" xfId="2" applyFont="1" applyAlignment="1">
      <alignment horizontal="left" vertical="center" wrapText="1"/>
    </xf>
    <xf numFmtId="0" fontId="8" fillId="12" borderId="22" xfId="2" applyFont="1" applyFill="1" applyBorder="1" applyAlignment="1">
      <alignment horizontal="center" vertical="center"/>
    </xf>
    <xf numFmtId="0" fontId="4" fillId="0" borderId="23" xfId="2" applyFont="1" applyBorder="1" applyAlignment="1">
      <alignment vertical="center"/>
    </xf>
    <xf numFmtId="0" fontId="4" fillId="0" borderId="23" xfId="2" applyFont="1" applyBorder="1"/>
    <xf numFmtId="0" fontId="11" fillId="13" borderId="25" xfId="2" applyFont="1" applyFill="1" applyBorder="1" applyAlignment="1">
      <alignment horizontal="center" vertical="center" wrapText="1"/>
    </xf>
    <xf numFmtId="0" fontId="11" fillId="13" borderId="31" xfId="2" applyFont="1" applyFill="1" applyBorder="1" applyAlignment="1">
      <alignment horizontal="center" vertical="center" wrapText="1"/>
    </xf>
    <xf numFmtId="0" fontId="11" fillId="13" borderId="27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vertical="center" wrapText="1"/>
    </xf>
    <xf numFmtId="0" fontId="4" fillId="0" borderId="0" xfId="2" applyFont="1" applyAlignment="1">
      <alignment horizontal="left" vertical="center"/>
    </xf>
    <xf numFmtId="0" fontId="20" fillId="0" borderId="0" xfId="2" applyAlignment="1">
      <alignment horizontal="left"/>
    </xf>
    <xf numFmtId="0" fontId="20" fillId="0" borderId="0" xfId="2" applyAlignment="1">
      <alignment horizontal="left" vertical="center"/>
    </xf>
    <xf numFmtId="0" fontId="4" fillId="18" borderId="21" xfId="2" applyFont="1" applyFill="1" applyBorder="1" applyAlignment="1">
      <alignment horizontal="left" vertical="center" wrapText="1"/>
    </xf>
    <xf numFmtId="0" fontId="11" fillId="13" borderId="24" xfId="2" applyFont="1" applyFill="1" applyBorder="1" applyAlignment="1">
      <alignment vertical="center" wrapText="1"/>
    </xf>
    <xf numFmtId="0" fontId="11" fillId="13" borderId="24" xfId="2" applyFont="1" applyFill="1" applyBorder="1" applyAlignment="1">
      <alignment horizontal="left" vertical="center" wrapText="1"/>
    </xf>
    <xf numFmtId="0" fontId="8" fillId="12" borderId="0" xfId="0" applyFont="1" applyFill="1" applyAlignment="1">
      <alignment horizontal="center" vertical="center"/>
    </xf>
    <xf numFmtId="0" fontId="8" fillId="12" borderId="32" xfId="0" applyFont="1" applyFill="1" applyBorder="1" applyAlignment="1">
      <alignment horizontal="center" vertical="center"/>
    </xf>
    <xf numFmtId="0" fontId="10" fillId="13" borderId="32" xfId="0" applyFont="1" applyFill="1" applyBorder="1" applyAlignment="1">
      <alignment horizontal="center" vertical="center" wrapText="1"/>
    </xf>
    <xf numFmtId="0" fontId="11" fillId="13" borderId="32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1" fillId="13" borderId="32" xfId="0" applyFont="1" applyFill="1" applyBorder="1" applyAlignment="1">
      <alignment horizontal="left" vertical="center" wrapText="1"/>
    </xf>
    <xf numFmtId="0" fontId="4" fillId="0" borderId="32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2" fillId="11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2" fontId="0" fillId="0" borderId="0" xfId="0" applyNumberFormat="1" applyAlignment="1">
      <alignment horizontal="center"/>
    </xf>
    <xf numFmtId="0" fontId="2" fillId="11" borderId="2" xfId="0" applyFont="1" applyFill="1" applyBorder="1" applyAlignment="1">
      <alignment horizontal="center" vertical="center" wrapText="1"/>
    </xf>
    <xf numFmtId="9" fontId="4" fillId="0" borderId="1" xfId="0" applyNumberFormat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2" fontId="0" fillId="0" borderId="1" xfId="0" applyNumberFormat="1" applyBorder="1" applyAlignment="1">
      <alignment horizont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0" xfId="0" applyAlignment="1">
      <alignment vertical="top"/>
    </xf>
    <xf numFmtId="0" fontId="0" fillId="0" borderId="19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8" xfId="0" applyBorder="1" applyAlignment="1">
      <alignment vertical="top"/>
    </xf>
    <xf numFmtId="165" fontId="0" fillId="0" borderId="0" xfId="0" applyNumberFormat="1" applyAlignment="1">
      <alignment horizontal="left"/>
    </xf>
    <xf numFmtId="0" fontId="11" fillId="13" borderId="21" xfId="0" applyFont="1" applyFill="1" applyBorder="1" applyAlignment="1">
      <alignment horizontal="left" vertical="center" wrapText="1"/>
    </xf>
    <xf numFmtId="0" fontId="4" fillId="0" borderId="34" xfId="0" applyFont="1" applyBorder="1" applyAlignment="1">
      <alignment horizontal="left" vertical="center" wrapText="1"/>
    </xf>
    <xf numFmtId="0" fontId="4" fillId="0" borderId="21" xfId="0" applyFont="1" applyBorder="1" applyAlignment="1">
      <alignment vertical="center" wrapText="1"/>
    </xf>
    <xf numFmtId="0" fontId="11" fillId="13" borderId="21" xfId="0" applyFont="1" applyFill="1" applyBorder="1" applyAlignment="1">
      <alignment vertical="center" wrapText="1"/>
    </xf>
    <xf numFmtId="164" fontId="17" fillId="19" borderId="0" xfId="0" applyNumberFormat="1" applyFont="1" applyFill="1" applyAlignment="1" applyProtection="1">
      <alignment horizontal="center" vertical="center"/>
      <protection locked="0"/>
    </xf>
    <xf numFmtId="164" fontId="17" fillId="19" borderId="0" xfId="0" applyNumberFormat="1" applyFont="1" applyFill="1" applyAlignment="1" applyProtection="1">
      <alignment horizontal="center"/>
      <protection locked="0"/>
    </xf>
    <xf numFmtId="0" fontId="22" fillId="19" borderId="0" xfId="0" applyFont="1" applyFill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4" fillId="0" borderId="21" xfId="0" applyFont="1" applyBorder="1" applyAlignment="1">
      <alignment horizontal="left" vertical="center" wrapText="1"/>
    </xf>
    <xf numFmtId="0" fontId="11" fillId="13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11" fillId="13" borderId="21" xfId="0" applyFont="1" applyFill="1" applyBorder="1" applyAlignment="1">
      <alignment vertical="top" wrapText="1"/>
    </xf>
    <xf numFmtId="0" fontId="4" fillId="0" borderId="21" xfId="0" applyFont="1" applyBorder="1" applyAlignment="1">
      <alignment vertical="top" wrapText="1"/>
    </xf>
    <xf numFmtId="0" fontId="20" fillId="0" borderId="1" xfId="2" applyBorder="1" applyAlignment="1">
      <alignment vertical="center" wrapText="1"/>
    </xf>
    <xf numFmtId="0" fontId="10" fillId="15" borderId="32" xfId="0" applyFont="1" applyFill="1" applyBorder="1" applyAlignment="1">
      <alignment horizontal="center" vertical="center" wrapText="1"/>
    </xf>
    <xf numFmtId="0" fontId="10" fillId="15" borderId="26" xfId="2" applyFont="1" applyFill="1" applyBorder="1" applyAlignment="1">
      <alignment horizontal="center" vertical="center" wrapText="1"/>
    </xf>
    <xf numFmtId="0" fontId="4" fillId="0" borderId="22" xfId="2" applyFont="1" applyBorder="1"/>
    <xf numFmtId="0" fontId="4" fillId="0" borderId="27" xfId="2" applyFont="1" applyBorder="1"/>
    <xf numFmtId="0" fontId="4" fillId="0" borderId="28" xfId="2" applyFont="1" applyBorder="1"/>
    <xf numFmtId="0" fontId="20" fillId="0" borderId="0" xfId="2"/>
    <xf numFmtId="0" fontId="4" fillId="0" borderId="29" xfId="2" applyFont="1" applyBorder="1"/>
    <xf numFmtId="0" fontId="4" fillId="0" borderId="30" xfId="2" applyFont="1" applyBorder="1"/>
    <xf numFmtId="0" fontId="4" fillId="0" borderId="23" xfId="2" applyFont="1" applyBorder="1"/>
    <xf numFmtId="0" fontId="4" fillId="0" borderId="20" xfId="2" applyFont="1" applyBorder="1"/>
    <xf numFmtId="0" fontId="1" fillId="4" borderId="0" xfId="0" applyFont="1" applyFill="1" applyAlignment="1">
      <alignment horizontal="center"/>
    </xf>
    <xf numFmtId="0" fontId="1" fillId="10" borderId="6" xfId="0" applyFont="1" applyFill="1" applyBorder="1" applyAlignment="1">
      <alignment horizontal="center" vertical="center" wrapText="1"/>
    </xf>
    <xf numFmtId="0" fontId="1" fillId="10" borderId="7" xfId="0" applyFont="1" applyFill="1" applyBorder="1" applyAlignment="1">
      <alignment horizontal="center" vertical="center" wrapText="1"/>
    </xf>
    <xf numFmtId="0" fontId="1" fillId="10" borderId="9" xfId="0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0" fontId="1" fillId="10" borderId="33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1" fillId="10" borderId="18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0" borderId="4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justify" vertical="center" wrapText="1"/>
    </xf>
    <xf numFmtId="0" fontId="0" fillId="0" borderId="4" xfId="0" applyBorder="1" applyAlignment="1">
      <alignment horizontal="justify" vertical="center" wrapText="1"/>
    </xf>
    <xf numFmtId="0" fontId="0" fillId="0" borderId="5" xfId="0" applyBorder="1" applyAlignment="1">
      <alignment horizontal="justify" vertical="center" wrapText="1"/>
    </xf>
    <xf numFmtId="0" fontId="0" fillId="0" borderId="6" xfId="0" applyBorder="1" applyAlignment="1">
      <alignment horizontal="justify" vertical="center" wrapText="1"/>
    </xf>
    <xf numFmtId="0" fontId="0" fillId="0" borderId="7" xfId="0" applyBorder="1" applyAlignment="1">
      <alignment horizontal="justify" vertical="center" wrapText="1"/>
    </xf>
    <xf numFmtId="0" fontId="0" fillId="0" borderId="8" xfId="0" applyBorder="1" applyAlignment="1">
      <alignment horizontal="justify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 wrapText="1"/>
    </xf>
    <xf numFmtId="0" fontId="4" fillId="11" borderId="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0" fillId="0" borderId="1" xfId="0" applyBorder="1" applyAlignment="1">
      <alignment horizontal="justify" vertical="center" wrapText="1"/>
    </xf>
    <xf numFmtId="0" fontId="0" fillId="0" borderId="4" xfId="0" applyBorder="1" applyAlignment="1">
      <alignment horizontal="center"/>
    </xf>
    <xf numFmtId="164" fontId="6" fillId="0" borderId="3" xfId="0" applyNumberFormat="1" applyFon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164" fontId="6" fillId="0" borderId="5" xfId="0" applyNumberFormat="1" applyFont="1" applyBorder="1" applyAlignment="1">
      <alignment horizontal="center" vertical="center" wrapText="1"/>
    </xf>
    <xf numFmtId="164" fontId="6" fillId="0" borderId="18" xfId="0" applyNumberFormat="1" applyFont="1" applyBorder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 wrapText="1"/>
    </xf>
    <xf numFmtId="164" fontId="6" fillId="0" borderId="19" xfId="0" applyNumberFormat="1" applyFont="1" applyBorder="1" applyAlignment="1">
      <alignment horizontal="center" vertical="center" wrapText="1"/>
    </xf>
    <xf numFmtId="164" fontId="6" fillId="0" borderId="6" xfId="0" applyNumberFormat="1" applyFont="1" applyBorder="1" applyAlignment="1">
      <alignment horizontal="center" vertical="center" wrapText="1"/>
    </xf>
    <xf numFmtId="164" fontId="6" fillId="0" borderId="7" xfId="0" applyNumberFormat="1" applyFont="1" applyBorder="1" applyAlignment="1">
      <alignment horizontal="center" vertical="center" wrapText="1"/>
    </xf>
    <xf numFmtId="164" fontId="6" fillId="0" borderId="8" xfId="0" applyNumberFormat="1" applyFont="1" applyBorder="1" applyAlignment="1">
      <alignment horizontal="center" vertical="center" wrapText="1"/>
    </xf>
    <xf numFmtId="0" fontId="24" fillId="4" borderId="0" xfId="0" applyFont="1" applyFill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7" fillId="10" borderId="9" xfId="0" applyFont="1" applyFill="1" applyBorder="1" applyAlignment="1">
      <alignment horizontal="center" vertical="center" wrapText="1"/>
    </xf>
    <xf numFmtId="0" fontId="30" fillId="0" borderId="0" xfId="0" applyFont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33" fillId="3" borderId="1" xfId="0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 wrapText="1"/>
    </xf>
    <xf numFmtId="0" fontId="30" fillId="11" borderId="1" xfId="0" applyFont="1" applyFill="1" applyBorder="1" applyAlignment="1" applyProtection="1">
      <alignment horizontal="center" vertical="center" wrapText="1"/>
      <protection locked="0"/>
    </xf>
    <xf numFmtId="0" fontId="31" fillId="11" borderId="1" xfId="0" applyFont="1" applyFill="1" applyBorder="1" applyAlignment="1" applyProtection="1">
      <alignment horizontal="center" vertical="center"/>
      <protection locked="0"/>
    </xf>
    <xf numFmtId="0" fontId="30" fillId="11" borderId="1" xfId="0" applyFont="1" applyFill="1" applyBorder="1" applyAlignment="1" applyProtection="1">
      <alignment horizontal="center" vertical="center" wrapText="1"/>
      <protection locked="0"/>
    </xf>
    <xf numFmtId="0" fontId="33" fillId="3" borderId="1" xfId="0" applyFont="1" applyFill="1" applyBorder="1" applyAlignment="1" applyProtection="1">
      <alignment horizontal="center" vertical="center"/>
      <protection locked="0"/>
    </xf>
    <xf numFmtId="0" fontId="24" fillId="10" borderId="18" xfId="0" applyFont="1" applyFill="1" applyBorder="1" applyAlignment="1">
      <alignment horizontal="center" vertical="center" wrapText="1"/>
    </xf>
    <xf numFmtId="0" fontId="34" fillId="3" borderId="7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/>
    </xf>
    <xf numFmtId="0" fontId="35" fillId="11" borderId="1" xfId="0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/>
    </xf>
    <xf numFmtId="0" fontId="35" fillId="11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 wrapText="1"/>
    </xf>
    <xf numFmtId="0" fontId="28" fillId="11" borderId="1" xfId="0" applyFont="1" applyFill="1" applyBorder="1" applyAlignment="1">
      <alignment horizontal="center" vertical="center" wrapText="1"/>
    </xf>
    <xf numFmtId="0" fontId="29" fillId="11" borderId="1" xfId="0" applyFont="1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 wrapText="1"/>
    </xf>
    <xf numFmtId="0" fontId="36" fillId="3" borderId="1" xfId="0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 wrapText="1"/>
    </xf>
    <xf numFmtId="0" fontId="37" fillId="11" borderId="1" xfId="0" applyFont="1" applyFill="1" applyBorder="1" applyAlignment="1">
      <alignment horizontal="center" vertical="center" wrapText="1"/>
    </xf>
    <xf numFmtId="0" fontId="38" fillId="11" borderId="1" xfId="0" applyFont="1" applyFill="1" applyBorder="1" applyAlignment="1">
      <alignment horizontal="center" vertical="center"/>
    </xf>
    <xf numFmtId="0" fontId="37" fillId="11" borderId="1" xfId="0" applyFont="1" applyFill="1" applyBorder="1" applyAlignment="1">
      <alignment horizontal="center" vertical="center" wrapText="1"/>
    </xf>
    <xf numFmtId="0" fontId="39" fillId="3" borderId="1" xfId="0" applyFont="1" applyFill="1" applyBorder="1" applyAlignment="1">
      <alignment horizontal="center" vertical="center"/>
    </xf>
    <xf numFmtId="0" fontId="40" fillId="11" borderId="1" xfId="0" applyFont="1" applyFill="1" applyBorder="1" applyAlignment="1">
      <alignment horizontal="center" vertical="center" wrapText="1"/>
    </xf>
    <xf numFmtId="0" fontId="41" fillId="11" borderId="1" xfId="0" applyFont="1" applyFill="1" applyBorder="1" applyAlignment="1">
      <alignment horizontal="center" vertical="center" wrapText="1"/>
    </xf>
    <xf numFmtId="0" fontId="42" fillId="11" borderId="1" xfId="0" applyFont="1" applyFill="1" applyBorder="1" applyAlignment="1">
      <alignment horizontal="center" vertical="center"/>
    </xf>
    <xf numFmtId="0" fontId="41" fillId="11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</cellXfs>
  <cellStyles count="4">
    <cellStyle name="Excel Built-in Normal" xfId="3" xr:uid="{00000000-0005-0000-0000-000000000000}"/>
    <cellStyle name="Normal" xfId="0" builtinId="0"/>
    <cellStyle name="Normal 2" xfId="2" xr:uid="{00000000-0005-0000-0000-000002000000}"/>
    <cellStyle name="Porcentaje" xfId="1" builtinId="5"/>
  </cellStyles>
  <dxfs count="310">
    <dxf>
      <font>
        <color theme="0"/>
      </font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 tint="-0.14996795556505021"/>
      </font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color theme="0" tint="-0.14996795556505021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color theme="5" tint="0.7999816888943144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5" tint="0.7999816888943144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/>
      </font>
    </dxf>
    <dxf>
      <font>
        <color theme="4" tint="0.79998168889431442"/>
      </font>
    </dxf>
    <dxf>
      <font>
        <color theme="8" tint="-0.24994659260841701"/>
      </font>
    </dxf>
    <dxf>
      <font>
        <color theme="0"/>
      </font>
    </dxf>
    <dxf>
      <font>
        <color rgb="FF4A86E8"/>
      </font>
    </dxf>
  </dxfs>
  <tableStyles count="0" defaultTableStyle="TableStyleMedium2" defaultPivotStyle="PivotStyleLight16"/>
  <colors>
    <mruColors>
      <color rgb="FF2A62DE"/>
      <color rgb="FF4A86E8"/>
      <color rgb="FF1970EF"/>
      <color rgb="FF1469F4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 sz="1400" b="1" i="0" baseline="0">
                <a:effectLst/>
              </a:rPr>
              <a:t>Behavior of students by performace levels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1298232446589411E-2"/>
          <c:y val="0.23278944298629339"/>
          <c:w val="0.68974564039454522"/>
          <c:h val="0.534540682414698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'EF_ASESSM_SO#_CODIG_MODULO_1'!$E$56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B8-4621-B65D-44846B84CE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B8-4621-B65D-44846B84CEAF}"/>
                </c:ext>
              </c:extLst>
            </c:dLbl>
            <c:spPr>
              <a:noFill/>
              <a:ln w="25400">
                <a:noFill/>
              </a:ln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B8-4621-B65D-44846B84CEAF}"/>
            </c:ext>
          </c:extLst>
        </c:ser>
        <c:ser>
          <c:idx val="1"/>
          <c:order val="1"/>
          <c:tx>
            <c:strRef>
              <c:f>'EF_ASESSM_SO#_CODIG_MODULO_1'!$F$56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92D050"/>
              </a:solidFill>
            </a:ln>
          </c:spPr>
          <c:invertIfNegative val="0"/>
          <c:cat>
            <c:strRef>
              <c:f>'EF_ASESSM_SO#_CODIG_MODULO_1'!$D$57:$D$62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B8-4621-B65D-44846B84CEAF}"/>
            </c:ext>
          </c:extLst>
        </c:ser>
        <c:ser>
          <c:idx val="2"/>
          <c:order val="2"/>
          <c:tx>
            <c:strRef>
              <c:f>'EF_ASESSM_SO#_CODIG_MODULO_1'!$G$56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rgbClr val="92D050"/>
              </a:solidFill>
            </a:ln>
          </c:spPr>
          <c:invertIfNegative val="0"/>
          <c:dLbls>
            <c:dLbl>
              <c:idx val="1"/>
              <c:layout>
                <c:manualLayout>
                  <c:x val="-1.6941973739940702E-3"/>
                  <c:y val="-9.2592592592591737E-3"/>
                </c:manualLayout>
              </c:layout>
              <c:spPr>
                <a:noFill/>
                <a:ln w="25400">
                  <a:noFill/>
                </a:ln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B8-4621-B65D-44846B84CEAF}"/>
                </c:ext>
              </c:extLst>
            </c:dLbl>
            <c:dLbl>
              <c:idx val="2"/>
              <c:layout>
                <c:manualLayout>
                  <c:x val="0"/>
                  <c:y val="-1.3888888888888973E-2"/>
                </c:manualLayout>
              </c:layout>
              <c:spPr>
                <a:noFill/>
                <a:ln w="25400">
                  <a:noFill/>
                </a:ln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CO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B8-4621-B65D-44846B84CEAF}"/>
                </c:ext>
              </c:extLst>
            </c:dLbl>
            <c:spPr>
              <a:noFill/>
              <a:ln w="25400">
                <a:noFill/>
              </a:ln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B8-4621-B65D-44846B84CEAF}"/>
            </c:ext>
          </c:extLst>
        </c:ser>
        <c:ser>
          <c:idx val="3"/>
          <c:order val="3"/>
          <c:tx>
            <c:strRef>
              <c:f>'EF_ASESSM_SO#_CODIG_MODULO_1'!$H$56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B8-4621-B65D-44846B84C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2077228080"/>
        <c:axId val="1"/>
      </c:barChart>
      <c:catAx>
        <c:axId val="207722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00"/>
                </a:pPr>
                <a:r>
                  <a:rPr lang="es-ES" sz="1000" b="0" i="0" baseline="0">
                    <a:effectLst/>
                  </a:rPr>
                  <a:t>Performance Indicators</a:t>
                </a:r>
                <a:endParaRPr lang="es-CO" sz="400">
                  <a:effectLst/>
                </a:endParaRP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400"/>
                </a:pPr>
                <a:r>
                  <a:rPr lang="es-ES" sz="1000" b="0" i="0" baseline="0">
                    <a:effectLst/>
                  </a:rPr>
                  <a:t>% of students at each performance level</a:t>
                </a:r>
                <a:endParaRPr lang="es-CO" sz="400">
                  <a:effectLst/>
                </a:endParaRPr>
              </a:p>
            </c:rich>
          </c:tx>
          <c:layout>
            <c:manualLayout>
              <c:xMode val="edge"/>
              <c:yMode val="edge"/>
              <c:x val="3.3894708889154294E-3"/>
              <c:y val="9.3900554097404484E-2"/>
            </c:manualLayout>
          </c:layout>
          <c:overlay val="0"/>
        </c:title>
        <c:numFmt formatCode="0.0%" sourceLinked="1"/>
        <c:majorTickMark val="out"/>
        <c:minorTickMark val="none"/>
        <c:tickLblPos val="nextTo"/>
        <c:crossAx val="207722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ES" sz="1400" b="1" i="0" baseline="0">
                <a:effectLst/>
              </a:rPr>
              <a:t>Behavior of students by performace levels </a:t>
            </a:r>
            <a:endParaRPr lang="es-CO" sz="1400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'EF_ASESSM_SO#_CODIG_MODULO_2'!$E$56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'EF_ASESSM_SO#_CODIG_MODULO_2'!$E$57:$E$62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5-4ED1-9D56-59DC131C946C}"/>
            </c:ext>
          </c:extLst>
        </c:ser>
        <c:ser>
          <c:idx val="1"/>
          <c:order val="1"/>
          <c:tx>
            <c:strRef>
              <c:f>'EF_ASESSM_SO#_CODIG_MODULO_2'!$F$56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92D050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'EF_ASESSM_SO#_CODIG_MODULO_2'!$F$57:$F$62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45-4ED1-9D56-59DC131C946C}"/>
            </c:ext>
          </c:extLst>
        </c:ser>
        <c:ser>
          <c:idx val="2"/>
          <c:order val="2"/>
          <c:tx>
            <c:strRef>
              <c:f>'EF_ASESSM_SO#_CODIG_MODULO_2'!$G$56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rgbClr val="92D050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'EF_ASESSM_SO#_CODIG_MODULO_2'!$G$57:$G$62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45-4ED1-9D56-59DC131C946C}"/>
            </c:ext>
          </c:extLst>
        </c:ser>
        <c:ser>
          <c:idx val="3"/>
          <c:order val="3"/>
          <c:tx>
            <c:strRef>
              <c:f>'EF_ASESSM_SO#_CODIG_MODULO_2'!$H$56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strRef>
              <c:f>'EF_ASESSM_SO#_CODIG_MODULO_2'!$D$57:$D$62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'EF_ASESSM_SO#_CODIG_MODULO_2'!$H$57:$H$62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45-4ED1-9D56-59DC131C9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2077224480"/>
        <c:axId val="1"/>
      </c:barChart>
      <c:catAx>
        <c:axId val="2077224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00"/>
                </a:pPr>
                <a:r>
                  <a:rPr lang="es-ES" sz="1000" b="0" i="0" baseline="0">
                    <a:effectLst/>
                  </a:rPr>
                  <a:t>Performance Indicators</a:t>
                </a:r>
                <a:endParaRPr lang="es-CO" sz="400">
                  <a:effectLst/>
                </a:endParaRP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400"/>
                </a:pPr>
                <a:r>
                  <a:rPr lang="es-ES" sz="1000" b="0" i="0" baseline="0">
                    <a:effectLst/>
                  </a:rPr>
                  <a:t>% of students at each performance level</a:t>
                </a:r>
                <a:endParaRPr lang="es-CO" sz="400">
                  <a:effectLst/>
                </a:endParaRP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2077224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 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'EF_ASESSM_SO#_CODIG_MODULO_3'!$E$56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14-4321-9522-33D991A0D3C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D14-4321-9522-33D991A0D3C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'EF_ASESSM_SO#_CODIG_MODULO_3'!$E$57:$E$62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14-4321-9522-33D991A0D3C3}"/>
            </c:ext>
          </c:extLst>
        </c:ser>
        <c:ser>
          <c:idx val="1"/>
          <c:order val="1"/>
          <c:tx>
            <c:strRef>
              <c:f>'EF_ASESSM_SO#_CODIG_MODULO_3'!$F$56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14-4321-9522-33D991A0D3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14-4321-9522-33D991A0D3C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'EF_ASESSM_SO#_CODIG_MODULO_3'!$F$57:$F$62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14-4321-9522-33D991A0D3C3}"/>
            </c:ext>
          </c:extLst>
        </c:ser>
        <c:ser>
          <c:idx val="2"/>
          <c:order val="2"/>
          <c:tx>
            <c:strRef>
              <c:f>'EF_ASESSM_SO#_CODIG_MODULO_3'!$G$56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'EF_ASESSM_SO#_CODIG_MODULO_3'!$G$57:$G$62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14-4321-9522-33D991A0D3C3}"/>
            </c:ext>
          </c:extLst>
        </c:ser>
        <c:ser>
          <c:idx val="3"/>
          <c:order val="3"/>
          <c:tx>
            <c:strRef>
              <c:f>'EF_ASESSM_SO#_CODIG_MODULO_3'!$H$56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14-4321-9522-33D991A0D3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14-4321-9522-33D991A0D3C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'EF_ASESSM_SO#_CODIG_MODULO_3'!$H$57:$H$62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14-4321-9522-33D991A0D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'EF_ASESSM_SO#_CODIG_MODULO_4'!$E$56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CE-4824-B155-21DA1B85DD2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CE-4824-B155-21DA1B85DD2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'EF_ASESSM_SO#_CODIG_MODULO_4'!$E$57:$E$62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CE-4824-B155-21DA1B85DD21}"/>
            </c:ext>
          </c:extLst>
        </c:ser>
        <c:ser>
          <c:idx val="1"/>
          <c:order val="1"/>
          <c:tx>
            <c:strRef>
              <c:f>'EF_ASESSM_SO#_CODIG_MODULO_4'!$F$56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CE-4824-B155-21DA1B85DD2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CE-4824-B155-21DA1B85DD2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'EF_ASESSM_SO#_CODIG_MODULO_4'!$F$57:$F$62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CE-4824-B155-21DA1B85DD21}"/>
            </c:ext>
          </c:extLst>
        </c:ser>
        <c:ser>
          <c:idx val="2"/>
          <c:order val="2"/>
          <c:tx>
            <c:strRef>
              <c:f>'EF_ASESSM_SO#_CODIG_MODULO_4'!$G$56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'EF_ASESSM_SO#_CODIG_MODULO_4'!$G$57:$G$62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CE-4824-B155-21DA1B85DD21}"/>
            </c:ext>
          </c:extLst>
        </c:ser>
        <c:ser>
          <c:idx val="3"/>
          <c:order val="3"/>
          <c:tx>
            <c:strRef>
              <c:f>'EF_ASESSM_SO#_CODIG_MODULO_4'!$H$56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CE-4824-B155-21DA1B85DD2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CE-4824-B155-21DA1B85DD2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'EF_ASESSM_SO#_CODIG_MODULO_4'!$H$57:$H$62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7CE-4824-B155-21DA1B85D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'EF_ASESSM_SO#_CODIG_MODULO_5'!$E$56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8A-4686-9C47-F821AFC52E8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8A-4686-9C47-F821AFC52E82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'EF_ASESSM_SO#_CODIG_MODULO_5'!$E$57:$E$62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8A-4686-9C47-F821AFC52E82}"/>
            </c:ext>
          </c:extLst>
        </c:ser>
        <c:ser>
          <c:idx val="1"/>
          <c:order val="1"/>
          <c:tx>
            <c:strRef>
              <c:f>'EF_ASESSM_SO#_CODIG_MODULO_5'!$F$56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8A-4686-9C47-F821AFC52E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8A-4686-9C47-F821AFC52E82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'EF_ASESSM_SO#_CODIG_MODULO_5'!$F$57:$F$62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8A-4686-9C47-F821AFC52E82}"/>
            </c:ext>
          </c:extLst>
        </c:ser>
        <c:ser>
          <c:idx val="2"/>
          <c:order val="2"/>
          <c:tx>
            <c:strRef>
              <c:f>'EF_ASESSM_SO#_CODIG_MODULO_5'!$G$56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'EF_ASESSM_SO#_CODIG_MODULO_5'!$G$57:$G$62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8A-4686-9C47-F821AFC52E82}"/>
            </c:ext>
          </c:extLst>
        </c:ser>
        <c:ser>
          <c:idx val="3"/>
          <c:order val="3"/>
          <c:tx>
            <c:strRef>
              <c:f>'EF_ASESSM_SO#_CODIG_MODULO_5'!$H$56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8A-4686-9C47-F821AFC52E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8A-4686-9C47-F821AFC52E82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'EF_ASESSM_SO#_CODIG_MODULO_5'!$H$57:$H$62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8A-4686-9C47-F821AFC52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'EF_ASESSM_SO#_CODIG_MODULO_6'!$E$56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08-4723-B160-710FAA67D86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508-4723-B160-710FAA67D86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'EF_ASESSM_SO#_CODIG_MODULO_6'!$D$57:$D$62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'EF_ASESSM_SO#_CODIG_MODULO_6'!$E$57:$E$62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08-4723-B160-710FAA67D865}"/>
            </c:ext>
          </c:extLst>
        </c:ser>
        <c:ser>
          <c:idx val="1"/>
          <c:order val="1"/>
          <c:tx>
            <c:strRef>
              <c:f>'EF_ASESSM_SO#_CODIG_MODULO_6'!$F$56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08-4723-B160-710FAA67D86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08-4723-B160-710FAA67D86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'EF_ASESSM_SO#_CODIG_MODULO_6'!$D$57:$D$62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'EF_ASESSM_SO#_CODIG_MODULO_6'!$F$57:$F$62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08-4723-B160-710FAA67D865}"/>
            </c:ext>
          </c:extLst>
        </c:ser>
        <c:ser>
          <c:idx val="2"/>
          <c:order val="2"/>
          <c:tx>
            <c:strRef>
              <c:f>'EF_ASESSM_SO#_CODIG_MODULO_6'!$G$56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'EF_ASESSM_SO#_CODIG_MODULO_6'!$D$57:$D$62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'EF_ASESSM_SO#_CODIG_MODULO_6'!$G$57:$G$62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08-4723-B160-710FAA67D865}"/>
            </c:ext>
          </c:extLst>
        </c:ser>
        <c:ser>
          <c:idx val="3"/>
          <c:order val="3"/>
          <c:tx>
            <c:strRef>
              <c:f>'EF_ASESSM_SO#_CODIG_MODULO_6'!$H$56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08-4723-B160-710FAA67D86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08-4723-B160-710FAA67D86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'EF_ASESSM_SO#_CODIG_MODULO_6'!$D$57:$D$62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'EF_ASESSM_SO#_CODIG_MODULO_6'!$H$57:$H$62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08-4723-B160-710FAA67D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'EF_ASESSM_SO#_CODIG_MODULO_7'!$E$56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0F-480E-885A-59B2F9F8FE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0F-480E-885A-59B2F9F8FE5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'EF_ASESSM_SO#_CODIG_MODULO_7'!$D$57:$D$62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'EF_ASESSM_SO#_CODIG_MODULO_7'!$E$57:$E$62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0F-480E-885A-59B2F9F8FE55}"/>
            </c:ext>
          </c:extLst>
        </c:ser>
        <c:ser>
          <c:idx val="1"/>
          <c:order val="1"/>
          <c:tx>
            <c:strRef>
              <c:f>'EF_ASESSM_SO#_CODIG_MODULO_7'!$F$56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0F-480E-885A-59B2F9F8FE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0F-480E-885A-59B2F9F8FE5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'EF_ASESSM_SO#_CODIG_MODULO_7'!$D$57:$D$62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'EF_ASESSM_SO#_CODIG_MODULO_7'!$F$57:$F$62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0F-480E-885A-59B2F9F8FE55}"/>
            </c:ext>
          </c:extLst>
        </c:ser>
        <c:ser>
          <c:idx val="2"/>
          <c:order val="2"/>
          <c:tx>
            <c:strRef>
              <c:f>'EF_ASESSM_SO#_CODIG_MODULO_7'!$G$56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'EF_ASESSM_SO#_CODIG_MODULO_7'!$D$57:$D$62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'EF_ASESSM_SO#_CODIG_MODULO_7'!$G$57:$G$62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F-480E-885A-59B2F9F8FE55}"/>
            </c:ext>
          </c:extLst>
        </c:ser>
        <c:ser>
          <c:idx val="3"/>
          <c:order val="3"/>
          <c:tx>
            <c:strRef>
              <c:f>'EF_ASESSM_SO#_CODIG_MODULO_7'!$H$56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0F-480E-885A-59B2F9F8FE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0F-480E-885A-59B2F9F8FE55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'EF_ASESSM_SO#_CODIG_MODULO_7'!$D$57:$D$62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'EF_ASESSM_SO#_CODIG_MODULO_7'!$H$57:$H$62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0F-480E-885A-59B2F9F8F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'EF_ASESSM_SO#_CODIG_MODULO_8'!$E$56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A8-4066-94D7-7C99B0D1302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A8-4066-94D7-7C99B0D130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'EF_ASESSM_SO#_CODIG_MODULO_8'!$D$57:$D$62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'EF_ASESSM_SO#_CODIG_MODULO_8'!$E$57:$E$62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A8-4066-94D7-7C99B0D13028}"/>
            </c:ext>
          </c:extLst>
        </c:ser>
        <c:ser>
          <c:idx val="1"/>
          <c:order val="1"/>
          <c:tx>
            <c:strRef>
              <c:f>'EF_ASESSM_SO#_CODIG_MODULO_8'!$F$56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A8-4066-94D7-7C99B0D130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A8-4066-94D7-7C99B0D130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'EF_ASESSM_SO#_CODIG_MODULO_8'!$D$57:$D$62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'EF_ASESSM_SO#_CODIG_MODULO_8'!$F$57:$F$62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A8-4066-94D7-7C99B0D13028}"/>
            </c:ext>
          </c:extLst>
        </c:ser>
        <c:ser>
          <c:idx val="2"/>
          <c:order val="2"/>
          <c:tx>
            <c:strRef>
              <c:f>'EF_ASESSM_SO#_CODIG_MODULO_8'!$G$56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'EF_ASESSM_SO#_CODIG_MODULO_8'!$D$57:$D$62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'EF_ASESSM_SO#_CODIG_MODULO_8'!$G$57:$G$62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A8-4066-94D7-7C99B0D13028}"/>
            </c:ext>
          </c:extLst>
        </c:ser>
        <c:ser>
          <c:idx val="3"/>
          <c:order val="3"/>
          <c:tx>
            <c:strRef>
              <c:f>'EF_ASESSM_SO#_CODIG_MODULO_8'!$H$56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A8-4066-94D7-7C99B0D130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A8-4066-94D7-7C99B0D130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'EF_ASESSM_SO#_CODIG_MODULO_8'!$D$57:$D$62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'EF_ASESSM_SO#_CODIG_MODULO_8'!$H$57:$H$62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BA8-4066-94D7-7C99B0D13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'EF_ASESSM_SO#_CODIG_MODULO_9'!$E$56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A1-447A-95C3-FD452A20232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A1-447A-95C3-FD452A2023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'EF_ASESSM_SO#_CODIG_MODULO_9'!$D$57:$D$62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'EF_ASESSM_SO#_CODIG_MODULO_9'!$E$57:$E$62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A1-447A-95C3-FD452A202328}"/>
            </c:ext>
          </c:extLst>
        </c:ser>
        <c:ser>
          <c:idx val="1"/>
          <c:order val="1"/>
          <c:tx>
            <c:strRef>
              <c:f>'EF_ASESSM_SO#_CODIG_MODULO_9'!$F$56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A1-447A-95C3-FD452A2023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A1-447A-95C3-FD452A2023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'EF_ASESSM_SO#_CODIG_MODULO_9'!$D$57:$D$62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'EF_ASESSM_SO#_CODIG_MODULO_9'!$F$57:$F$62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A1-447A-95C3-FD452A202328}"/>
            </c:ext>
          </c:extLst>
        </c:ser>
        <c:ser>
          <c:idx val="2"/>
          <c:order val="2"/>
          <c:tx>
            <c:strRef>
              <c:f>'EF_ASESSM_SO#_CODIG_MODULO_9'!$G$56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'EF_ASESSM_SO#_CODIG_MODULO_9'!$D$57:$D$62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'EF_ASESSM_SO#_CODIG_MODULO_9'!$G$57:$G$62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A1-447A-95C3-FD452A202328}"/>
            </c:ext>
          </c:extLst>
        </c:ser>
        <c:ser>
          <c:idx val="3"/>
          <c:order val="3"/>
          <c:tx>
            <c:strRef>
              <c:f>'EF_ASESSM_SO#_CODIG_MODULO_9'!$H$56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A1-447A-95C3-FD452A2023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A1-447A-95C3-FD452A20232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'EF_ASESSM_SO#_CODIG_MODULO_9'!$D$57:$D$62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'EF_ASESSM_SO#_CODIG_MODULO_9'!$H$57:$H$62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AA1-447A-95C3-FD452A202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'EF_ASESSM_SO#_CODIG_MODULO_10'!$E$56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71-4577-8377-F128ED90889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71-4577-8377-F128ED90889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'EF_ASESSM_SO#_CODIG_MODULO_10'!$D$57:$D$62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'EF_ASESSM_SO#_CODIG_MODULO_10'!$E$57:$E$62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71-4577-8377-F128ED90889C}"/>
            </c:ext>
          </c:extLst>
        </c:ser>
        <c:ser>
          <c:idx val="1"/>
          <c:order val="1"/>
          <c:tx>
            <c:strRef>
              <c:f>'EF_ASESSM_SO#_CODIG_MODULO_10'!$F$56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71-4577-8377-F128ED90889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1-4577-8377-F128ED90889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'EF_ASESSM_SO#_CODIG_MODULO_10'!$D$57:$D$62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'EF_ASESSM_SO#_CODIG_MODULO_10'!$F$57:$F$62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71-4577-8377-F128ED90889C}"/>
            </c:ext>
          </c:extLst>
        </c:ser>
        <c:ser>
          <c:idx val="2"/>
          <c:order val="2"/>
          <c:tx>
            <c:strRef>
              <c:f>'EF_ASESSM_SO#_CODIG_MODULO_10'!$G$56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'EF_ASESSM_SO#_CODIG_MODULO_10'!$D$57:$D$62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'EF_ASESSM_SO#_CODIG_MODULO_10'!$G$57:$G$62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71-4577-8377-F128ED90889C}"/>
            </c:ext>
          </c:extLst>
        </c:ser>
        <c:ser>
          <c:idx val="3"/>
          <c:order val="3"/>
          <c:tx>
            <c:strRef>
              <c:f>'EF_ASESSM_SO#_CODIG_MODULO_10'!$H$56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71-4577-8377-F128ED90889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71-4577-8377-F128ED90889C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'EF_ASESSM_SO#_CODIG_MODULO_10'!$D$57:$D$62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'EF_ASESSM_SO#_CODIG_MODULO_10'!$H$57:$H$62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71-4577-8377-F128ED908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'EF_ASESSM_SO#_CODIG_MODULO_11'!$E$56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06-49FD-963E-7BA2D2193CC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A06-49FD-963E-7BA2D2193CCF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'EF_ASESSM_SO#_CODIG_MODULO_11'!$E$57:$E$62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06-49FD-963E-7BA2D2193CCF}"/>
            </c:ext>
          </c:extLst>
        </c:ser>
        <c:ser>
          <c:idx val="1"/>
          <c:order val="1"/>
          <c:tx>
            <c:strRef>
              <c:f>'EF_ASESSM_SO#_CODIG_MODULO_11'!$F$56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06-49FD-963E-7BA2D2193CC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06-49FD-963E-7BA2D2193CCF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'EF_ASESSM_SO#_CODIG_MODULO_11'!$F$57:$F$62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06-49FD-963E-7BA2D2193CCF}"/>
            </c:ext>
          </c:extLst>
        </c:ser>
        <c:ser>
          <c:idx val="2"/>
          <c:order val="2"/>
          <c:tx>
            <c:strRef>
              <c:f>'EF_ASESSM_SO#_CODIG_MODULO_11'!$G$56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'EF_ASESSM_SO#_CODIG_MODULO_11'!$G$57:$G$62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06-49FD-963E-7BA2D2193CCF}"/>
            </c:ext>
          </c:extLst>
        </c:ser>
        <c:ser>
          <c:idx val="3"/>
          <c:order val="3"/>
          <c:tx>
            <c:strRef>
              <c:f>'EF_ASESSM_SO#_CODIG_MODULO_11'!$H$56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06-49FD-963E-7BA2D2193CC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06-49FD-963E-7BA2D2193CCF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'EF_ASESSM_SO#_CODIG_MODULO_11'!$D$57:$D$62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'EF_ASESSM_SO#_CODIG_MODULO_11'!$H$57:$H$62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06-49FD-963E-7BA2D2193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'EF_ASESSM_SO#_CODIG_MODULO_12'!$E$56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38-4548-84D5-617CC141730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38-4548-84D5-617CC141730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'EF_ASESSM_SO#_CODIG_MODULO_12'!$E$57:$E$62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38-4548-84D5-617CC1417301}"/>
            </c:ext>
          </c:extLst>
        </c:ser>
        <c:ser>
          <c:idx val="1"/>
          <c:order val="1"/>
          <c:tx>
            <c:strRef>
              <c:f>'EF_ASESSM_SO#_CODIG_MODULO_12'!$F$56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38-4548-84D5-617CC141730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38-4548-84D5-617CC141730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'EF_ASESSM_SO#_CODIG_MODULO_12'!$F$57:$F$62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38-4548-84D5-617CC1417301}"/>
            </c:ext>
          </c:extLst>
        </c:ser>
        <c:ser>
          <c:idx val="2"/>
          <c:order val="2"/>
          <c:tx>
            <c:strRef>
              <c:f>'EF_ASESSM_SO#_CODIG_MODULO_12'!$G$56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'EF_ASESSM_SO#_CODIG_MODULO_12'!$G$57:$G$62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38-4548-84D5-617CC1417301}"/>
            </c:ext>
          </c:extLst>
        </c:ser>
        <c:ser>
          <c:idx val="3"/>
          <c:order val="3"/>
          <c:tx>
            <c:strRef>
              <c:f>'EF_ASESSM_SO#_CODIG_MODULO_12'!$H$56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38-4548-84D5-617CC141730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538-4548-84D5-617CC1417301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'EF_ASESSM_SO#_CODIG_MODULO_12'!$D$57:$D$62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'EF_ASESSM_SO#_CODIG_MODULO_12'!$H$57:$H$62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38-4548-84D5-617CC1417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'EF_ASESSM_SO#_CODIG_MODULO_13'!$E$56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0-4BF1-8F67-564F2EFAA09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900-4BF1-8F67-564F2EFAA09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'EF_ASESSM_SO#_CODIG_MODULO_13'!$E$57:$E$62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00-4BF1-8F67-564F2EFAA093}"/>
            </c:ext>
          </c:extLst>
        </c:ser>
        <c:ser>
          <c:idx val="1"/>
          <c:order val="1"/>
          <c:tx>
            <c:strRef>
              <c:f>'EF_ASESSM_SO#_CODIG_MODULO_13'!$F$56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0-4BF1-8F67-564F2EFAA09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0-4BF1-8F67-564F2EFAA09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'EF_ASESSM_SO#_CODIG_MODULO_13'!$F$57:$F$62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00-4BF1-8F67-564F2EFAA093}"/>
            </c:ext>
          </c:extLst>
        </c:ser>
        <c:ser>
          <c:idx val="2"/>
          <c:order val="2"/>
          <c:tx>
            <c:strRef>
              <c:f>'EF_ASESSM_SO#_CODIG_MODULO_13'!$G$56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'EF_ASESSM_SO#_CODIG_MODULO_13'!$G$57:$G$62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900-4BF1-8F67-564F2EFAA093}"/>
            </c:ext>
          </c:extLst>
        </c:ser>
        <c:ser>
          <c:idx val="3"/>
          <c:order val="3"/>
          <c:tx>
            <c:strRef>
              <c:f>'EF_ASESSM_SO#_CODIG_MODULO_13'!$H$56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0-4BF1-8F67-564F2EFAA09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0-4BF1-8F67-564F2EFAA093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'EF_ASESSM_SO#_CODIG_MODULO_13'!$D$57:$D$62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'EF_ASESSM_SO#_CODIG_MODULO_13'!$H$57:$H$62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00-4BF1-8F67-564F2EFAA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'EF_ASESSM_SO#_CODIG_MODULO_14'!$E$56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1C-4FB9-B510-2882A4E5C2C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1C-4FB9-B510-2882A4E5C2C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'EF_ASESSM_SO#_CODIG_MODULO_14'!$E$57:$E$62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1C-4FB9-B510-2882A4E5C2C9}"/>
            </c:ext>
          </c:extLst>
        </c:ser>
        <c:ser>
          <c:idx val="1"/>
          <c:order val="1"/>
          <c:tx>
            <c:strRef>
              <c:f>'EF_ASESSM_SO#_CODIG_MODULO_14'!$F$56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1C-4FB9-B510-2882A4E5C2C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1C-4FB9-B510-2882A4E5C2C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'EF_ASESSM_SO#_CODIG_MODULO_14'!$F$57:$F$62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1C-4FB9-B510-2882A4E5C2C9}"/>
            </c:ext>
          </c:extLst>
        </c:ser>
        <c:ser>
          <c:idx val="2"/>
          <c:order val="2"/>
          <c:tx>
            <c:strRef>
              <c:f>'EF_ASESSM_SO#_CODIG_MODULO_14'!$G$56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'EF_ASESSM_SO#_CODIG_MODULO_14'!$G$57:$G$62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1C-4FB9-B510-2882A4E5C2C9}"/>
            </c:ext>
          </c:extLst>
        </c:ser>
        <c:ser>
          <c:idx val="3"/>
          <c:order val="3"/>
          <c:tx>
            <c:strRef>
              <c:f>'EF_ASESSM_SO#_CODIG_MODULO_14'!$H$56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1C-4FB9-B510-2882A4E5C2C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1C-4FB9-B510-2882A4E5C2C9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'EF_ASESSM_SO#_CODIG_MODULO_14'!$D$57:$D$62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'EF_ASESSM_SO#_CODIG_MODULO_14'!$H$57:$H$62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1C-4FB9-B510-2882A4E5C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effectLst/>
              </a:rPr>
              <a:t>Behavior of students by performace levels</a:t>
            </a:r>
            <a:endParaRPr lang="es-CO" sz="1100">
              <a:effectLst/>
            </a:endParaRP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'EF_ASESSM_SO#_CODIG_MODULO_15'!$E$56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FF0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F0-4ECC-99A9-29B459AB69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F0-4ECC-99A9-29B459AB6946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'EF_ASESSM_SO#_CODIG_MODULO_15'!$E$57:$E$62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F0-4ECC-99A9-29B459AB6946}"/>
            </c:ext>
          </c:extLst>
        </c:ser>
        <c:ser>
          <c:idx val="1"/>
          <c:order val="1"/>
          <c:tx>
            <c:strRef>
              <c:f>'EF_ASESSM_SO#_CODIG_MODULO_15'!$F$56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F0-4ECC-99A9-29B459AB69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F0-4ECC-99A9-29B459AB6946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'EF_ASESSM_SO#_CODIG_MODULO_15'!$F$57:$F$62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F0-4ECC-99A9-29B459AB6946}"/>
            </c:ext>
          </c:extLst>
        </c:ser>
        <c:ser>
          <c:idx val="2"/>
          <c:order val="2"/>
          <c:tx>
            <c:strRef>
              <c:f>'EF_ASESSM_SO#_CODIG_MODULO_15'!$G$56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solidFill>
                <a:schemeClr val="accent4">
                  <a:lumMod val="40000"/>
                  <a:lumOff val="60000"/>
                </a:schemeClr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'EF_ASESSM_SO#_CODIG_MODULO_15'!$G$57:$G$62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F0-4ECC-99A9-29B459AB6946}"/>
            </c:ext>
          </c:extLst>
        </c:ser>
        <c:ser>
          <c:idx val="3"/>
          <c:order val="3"/>
          <c:tx>
            <c:strRef>
              <c:f>'EF_ASESSM_SO#_CODIG_MODULO_15'!$H$56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92D050"/>
              </a:solidFill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F0-4ECC-99A9-29B459AB694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F0-4ECC-99A9-29B459AB6946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'EF_ASESSM_SO#_CODIG_MODULO_15'!$D$57:$D$62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'EF_ASESSM_SO#_CODIG_MODULO_15'!$H$57:$H$62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F0-4ECC-99A9-29B459AB6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30880"/>
        <c:axId val="1"/>
      </c:barChart>
      <c:catAx>
        <c:axId val="207723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3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1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FINAL_REPORT_ASESSMT_SO!$F$32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FINAL_REPORT_ASESSMT_SO!$E$33:$E$47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FINAL_REPORT_ASESSMT_SO!$F$33:$F$47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11-49A9-A732-562363B956A1}"/>
            </c:ext>
          </c:extLst>
        </c:ser>
        <c:ser>
          <c:idx val="0"/>
          <c:order val="1"/>
          <c:tx>
            <c:strRef>
              <c:f>FINAL_REPORT_ASESSMT_SO!$G$32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FINAL_REPORT_ASESSMT_SO!$E$33:$E$47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FINAL_REPORT_ASESSMT_SO!$G$33:$G$47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11-49A9-A732-562363B956A1}"/>
            </c:ext>
          </c:extLst>
        </c:ser>
        <c:ser>
          <c:idx val="1"/>
          <c:order val="2"/>
          <c:tx>
            <c:strRef>
              <c:f>FINAL_REPORT_ASESSMT_SO!$H$32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25400">
              <a:noFill/>
            </a:ln>
          </c:spPr>
          <c:invertIfNegative val="0"/>
          <c:cat>
            <c:numRef>
              <c:f>FINAL_REPORT_ASESSMT_SO!$E$33:$E$47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FINAL_REPORT_ASESSMT_SO!$H$33:$H$47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711-49A9-A732-562363B956A1}"/>
            </c:ext>
          </c:extLst>
        </c:ser>
        <c:ser>
          <c:idx val="2"/>
          <c:order val="3"/>
          <c:tx>
            <c:strRef>
              <c:f>FINAL_REPORT_ASESSMT_SO!$I$32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FINAL_REPORT_ASESSMT_SO!$E$33:$E$47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FINAL_REPORT_ASESSMT_SO!$I$33:$I$47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711-49A9-A732-562363B95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6880"/>
        <c:axId val="1"/>
      </c:barChart>
      <c:catAx>
        <c:axId val="2077226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617583385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5229802479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6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39705347049"/>
          <c:w val="0.19040607185248337"/>
          <c:h val="0.32846945226737173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1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4655670103092783"/>
          <c:y val="3.39393939393939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94CC-4D28-BC57-2D1754EBF4F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CC-4D28-BC57-2D1754EBF4FF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4CC-4D28-BC57-2D1754EBF4FF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4CC-4D28-BC57-2D1754EBF4F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FINAL_REPORT_ASESSMT_SO!$F$32:$I$32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FINAL_REPORT_ASESSMT_SO!$F$48:$I$48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CC-4D28-BC57-2D1754EBF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2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FINAL_REPORT_ASESSMT_SO!$F$74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FINAL_REPORT_ASESSMT_SO!$E$75:$E$89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FINAL_REPORT_ASESSMT_SO!$F$75:$F$89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9-4A05-984F-46CCBE3BC08E}"/>
            </c:ext>
          </c:extLst>
        </c:ser>
        <c:ser>
          <c:idx val="0"/>
          <c:order val="1"/>
          <c:tx>
            <c:strRef>
              <c:f>FINAL_REPORT_ASESSMT_SO!$G$74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FINAL_REPORT_ASESSMT_SO!$E$75:$E$89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FINAL_REPORT_ASESSMT_SO!$G$75:$G$89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9-4A05-984F-46CCBE3BC08E}"/>
            </c:ext>
          </c:extLst>
        </c:ser>
        <c:ser>
          <c:idx val="1"/>
          <c:order val="2"/>
          <c:tx>
            <c:strRef>
              <c:f>FINAL_REPORT_ASESSMT_SO!$H$74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rgbClr val="F6D88E"/>
            </a:solidFill>
            <a:ln w="25400">
              <a:noFill/>
            </a:ln>
          </c:spPr>
          <c:invertIfNegative val="0"/>
          <c:cat>
            <c:numRef>
              <c:f>FINAL_REPORT_ASESSMT_SO!$E$75:$E$89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FINAL_REPORT_ASESSMT_SO!$H$75:$H$89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9-4A05-984F-46CCBE3BC08E}"/>
            </c:ext>
          </c:extLst>
        </c:ser>
        <c:ser>
          <c:idx val="2"/>
          <c:order val="3"/>
          <c:tx>
            <c:strRef>
              <c:f>FINAL_REPORT_ASESSMT_SO!$I$74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FINAL_REPORT_ASESSMT_SO!$E$75:$E$89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FINAL_REPORT_ASESSMT_SO!$I$75:$I$89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9-4A05-984F-46CCBE3BC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0880"/>
        <c:axId val="1"/>
      </c:barChart>
      <c:catAx>
        <c:axId val="207722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0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9040607185248337"/>
          <c:h val="0.3284695918586385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2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9867209395435739"/>
          <c:y val="2.4242247496840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C3C4-409C-B6C1-50176159A11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C4-409C-B6C1-50176159A112}"/>
              </c:ext>
            </c:extLst>
          </c:dPt>
          <c:dPt>
            <c:idx val="2"/>
            <c:bubble3D val="0"/>
            <c:spPr>
              <a:solidFill>
                <a:srgbClr val="FF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3C4-409C-B6C1-50176159A112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C4-409C-B6C1-50176159A112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FINAL_REPORT_ASESSMT_SO!$F$32:$I$32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FINAL_REPORT_ASESSMT_SO!$F$90:$I$90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C4-409C-B6C1-50176159A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3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FINAL_REPORT_ASESSMT_SO!$F$116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FINAL_REPORT_ASESSMT_SO!$E$117:$E$131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FINAL_REPORT_ASESSMT_SO!$F$117:$F$131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0C-42DA-87C2-F6943015D095}"/>
            </c:ext>
          </c:extLst>
        </c:ser>
        <c:ser>
          <c:idx val="0"/>
          <c:order val="1"/>
          <c:tx>
            <c:strRef>
              <c:f>FINAL_REPORT_ASESSMT_SO!$G$116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FINAL_REPORT_ASESSMT_SO!$E$117:$E$131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FINAL_REPORT_ASESSMT_SO!$G$117:$G$131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0C-42DA-87C2-F6943015D095}"/>
            </c:ext>
          </c:extLst>
        </c:ser>
        <c:ser>
          <c:idx val="1"/>
          <c:order val="2"/>
          <c:tx>
            <c:strRef>
              <c:f>FINAL_REPORT_ASESSMT_SO!$H$116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rgbClr val="F6D88E"/>
            </a:solidFill>
            <a:ln w="25400">
              <a:noFill/>
            </a:ln>
          </c:spPr>
          <c:invertIfNegative val="0"/>
          <c:cat>
            <c:numRef>
              <c:f>FINAL_REPORT_ASESSMT_SO!$E$117:$E$131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FINAL_REPORT_ASESSMT_SO!$H$117:$H$131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0C-42DA-87C2-F6943015D095}"/>
            </c:ext>
          </c:extLst>
        </c:ser>
        <c:ser>
          <c:idx val="2"/>
          <c:order val="3"/>
          <c:tx>
            <c:strRef>
              <c:f>FINAL_REPORT_ASESSMT_SO!$I$116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FINAL_REPORT_ASESSMT_SO!$E$117:$E$131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FINAL_REPORT_ASESSMT_SO!$I$117:$I$131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E0C-42DA-87C2-F6943015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4880"/>
        <c:axId val="1"/>
      </c:barChart>
      <c:catAx>
        <c:axId val="207722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4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9040607185248337"/>
          <c:h val="0.3284695918586385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3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9867209395435739"/>
          <c:y val="2.4242247496840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9BD1-491C-B294-B4B29D65A363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D1-491C-B294-B4B29D65A363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BD1-491C-B294-B4B29D65A363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D1-491C-B294-B4B29D65A363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FINAL_REPORT_ASESSMT_SO!$F$32:$I$32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FINAL_REPORT_ASESSMT_SO!$F$132:$I$132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D1-491C-B294-B4B29D65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FINAL_REPORT_ASESSMT_SO!$E$282</c:f>
              <c:strCache>
                <c:ptCount val="1"/>
                <c:pt idx="0">
                  <c:v>% COMPLIANCE SO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25400">
              <a:noFill/>
            </a:ln>
          </c:spPr>
          <c:invertIfNegative val="0"/>
          <c:cat>
            <c:numRef>
              <c:f>FINAL_REPORT_ASESSMT_SO!$F$281:$T$281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FINAL_REPORT_ASESSMT_SO!$F$282:$T$282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71-444C-8D3A-3BEFF057A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5280"/>
        <c:axId val="1"/>
      </c:barChart>
      <c:catAx>
        <c:axId val="2077225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52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9040607185248337"/>
          <c:h val="0.3284695918586385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4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FINAL_REPORT_ASESSMT_SO!$F$158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FINAL_REPORT_ASESSMT_SO!$E$159:$E$173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FINAL_REPORT_ASESSMT_SO!$F$159:$F$173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E4-411A-8C33-8E0B93EB74AE}"/>
            </c:ext>
          </c:extLst>
        </c:ser>
        <c:ser>
          <c:idx val="1"/>
          <c:order val="1"/>
          <c:tx>
            <c:strRef>
              <c:f>FINAL_REPORT_ASESSMT_SO!$G$158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FINAL_REPORT_ASESSMT_SO!$E$159:$E$173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FINAL_REPORT_ASESSMT_SO!$G$159:$G$173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E4-411A-8C33-8E0B93EB74AE}"/>
            </c:ext>
          </c:extLst>
        </c:ser>
        <c:ser>
          <c:idx val="2"/>
          <c:order val="2"/>
          <c:tx>
            <c:strRef>
              <c:f>FINAL_REPORT_ASESSMT_SO!$H$158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numRef>
              <c:f>FINAL_REPORT_ASESSMT_SO!$E$159:$E$173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FINAL_REPORT_ASESSMT_SO!$H$159:$H$173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E4-411A-8C33-8E0B93EB74AE}"/>
            </c:ext>
          </c:extLst>
        </c:ser>
        <c:ser>
          <c:idx val="4"/>
          <c:order val="3"/>
          <c:tx>
            <c:strRef>
              <c:f>FINAL_REPORT_ASESSMT_SO!$I$158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FINAL_REPORT_ASESSMT_SO!$E$159:$E$173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FINAL_REPORT_ASESSMT_SO!$I$159:$I$173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E4-411A-8C33-8E0B93EB7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4880"/>
        <c:axId val="1"/>
      </c:barChart>
      <c:catAx>
        <c:axId val="207722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4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8454738542297597"/>
          <c:h val="0.33457483242104036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4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9867209395435739"/>
          <c:y val="2.4242247496840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18-444E-AC59-EA249E983AB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18-444E-AC59-EA249E983AB7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18-444E-AC59-EA249E983AB7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8-444E-AC59-EA249E983AB7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FINAL_REPORT_ASESSMT_SO!$F$158:$I$158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FINAL_REPORT_ASESSMT_SO!$F$174:$I$174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18-444E-AC59-EA249E983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5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FINAL_REPORT_ASESSMT_SO!$F$200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FINAL_REPORT_ASESSMT_SO!$E$201:$E$215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FINAL_REPORT_ASESSMT_SO!$F$201:$F$215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97-470B-AAC5-6BA2D145ACE6}"/>
            </c:ext>
          </c:extLst>
        </c:ser>
        <c:ser>
          <c:idx val="1"/>
          <c:order val="1"/>
          <c:tx>
            <c:strRef>
              <c:f>FINAL_REPORT_ASESSMT_SO!$G$200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FINAL_REPORT_ASESSMT_SO!$E$201:$E$215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FINAL_REPORT_ASESSMT_SO!$G$201:$G$215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97-470B-AAC5-6BA2D145ACE6}"/>
            </c:ext>
          </c:extLst>
        </c:ser>
        <c:ser>
          <c:idx val="2"/>
          <c:order val="2"/>
          <c:tx>
            <c:strRef>
              <c:f>FINAL_REPORT_ASESSMT_SO!$H$200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numRef>
              <c:f>FINAL_REPORT_ASESSMT_SO!$E$201:$E$215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FINAL_REPORT_ASESSMT_SO!$H$201:$H$215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97-470B-AAC5-6BA2D145ACE6}"/>
            </c:ext>
          </c:extLst>
        </c:ser>
        <c:ser>
          <c:idx val="4"/>
          <c:order val="3"/>
          <c:tx>
            <c:strRef>
              <c:f>FINAL_REPORT_ASESSMT_SO!$I$200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FINAL_REPORT_ASESSMT_SO!$E$201:$E$215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FINAL_REPORT_ASESSMT_SO!$I$201:$I$215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97-470B-AAC5-6BA2D145A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4880"/>
        <c:axId val="1"/>
      </c:barChart>
      <c:catAx>
        <c:axId val="207722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4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8454738542297597"/>
          <c:h val="0.33457483242104036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5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9867209395435739"/>
          <c:y val="2.4242247496840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B67-4E42-A80B-941A02CCC64A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B67-4E42-A80B-941A02CCC64A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B67-4E42-A80B-941A02CCC64A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B67-4E42-A80B-941A02CCC64A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FINAL_REPORT_ASESSMT_SO!$F$200:$I$200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FINAL_REPORT_ASESSMT_SO!$F$216:$I$216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67-4E42-A80B-941A02CCC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Behavior of students by performance levels</a:t>
            </a:r>
          </a:p>
          <a:p>
            <a:pPr>
              <a:defRPr sz="11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ES" sz="1100" b="1" i="0" baseline="0">
                <a:solidFill>
                  <a:schemeClr val="tx1"/>
                </a:solidFill>
                <a:effectLst/>
              </a:rPr>
              <a:t>Performance Indicator 6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FINAL_REPORT_ASESSMT_SO!$F$242</c:f>
              <c:strCache>
                <c:ptCount val="1"/>
                <c:pt idx="0">
                  <c:v>Level 1 - 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cat>
            <c:numRef>
              <c:f>FINAL_REPORT_ASESSMT_SO!$E$243:$E$257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FINAL_REPORT_ASESSMT_SO!$F$243:$F$257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9-4959-BE0A-396418AA8762}"/>
            </c:ext>
          </c:extLst>
        </c:ser>
        <c:ser>
          <c:idx val="1"/>
          <c:order val="1"/>
          <c:tx>
            <c:strRef>
              <c:f>FINAL_REPORT_ASESSMT_SO!$G$242</c:f>
              <c:strCache>
                <c:ptCount val="1"/>
                <c:pt idx="0">
                  <c:v>Level 2 - Inadequate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invertIfNegative val="0"/>
          <c:cat>
            <c:numRef>
              <c:f>FINAL_REPORT_ASESSMT_SO!$E$243:$E$257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FINAL_REPORT_ASESSMT_SO!$G$243:$G$257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49-4959-BE0A-396418AA8762}"/>
            </c:ext>
          </c:extLst>
        </c:ser>
        <c:ser>
          <c:idx val="2"/>
          <c:order val="2"/>
          <c:tx>
            <c:strRef>
              <c:f>FINAL_REPORT_ASESSMT_SO!$H$242</c:f>
              <c:strCache>
                <c:ptCount val="1"/>
                <c:pt idx="0">
                  <c:v>Level 3 - 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numRef>
              <c:f>FINAL_REPORT_ASESSMT_SO!$E$243:$E$257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FINAL_REPORT_ASESSMT_SO!$H$243:$H$257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49-4959-BE0A-396418AA8762}"/>
            </c:ext>
          </c:extLst>
        </c:ser>
        <c:ser>
          <c:idx val="4"/>
          <c:order val="3"/>
          <c:tx>
            <c:strRef>
              <c:f>FINAL_REPORT_ASESSMT_SO!$I$242</c:f>
              <c:strCache>
                <c:ptCount val="1"/>
                <c:pt idx="0">
                  <c:v>Level 4 - Exemplary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numRef>
              <c:f>FINAL_REPORT_ASESSMT_SO!$E$243:$E$257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cat>
          <c:val>
            <c:numRef>
              <c:f>FINAL_REPORT_ASESSMT_SO!$I$243:$I$257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49-4959-BE0A-396418AA8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4880"/>
        <c:axId val="1"/>
      </c:barChart>
      <c:catAx>
        <c:axId val="2077224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</a:t>
                </a:r>
                <a:r>
                  <a:rPr lang="es-ES" baseline="0"/>
                  <a:t> Indicators</a:t>
                </a:r>
                <a:endParaRPr lang="es-ES"/>
              </a:p>
            </c:rich>
          </c:tx>
          <c:layout>
            <c:manualLayout>
              <c:xMode val="edge"/>
              <c:yMode val="edge"/>
              <c:x val="0.39878429209087718"/>
              <c:y val="0.8766212959439549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0" i="0" baseline="0">
                    <a:solidFill>
                      <a:schemeClr val="tx1"/>
                    </a:solidFill>
                    <a:effectLst/>
                  </a:rPr>
                  <a:t>% of students at each performance level</a:t>
                </a:r>
                <a:endParaRPr lang="es-ES" sz="900" b="0">
                  <a:solidFill>
                    <a:schemeClr val="tx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9444472307203635E-2"/>
              <c:y val="0.124166691059528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772248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294565090191749"/>
          <c:y val="0.25857526173540574"/>
          <c:w val="0.18454738542297597"/>
          <c:h val="0.33457483242104036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200" b="1">
                <a:solidFill>
                  <a:sysClr val="windowText" lastClr="000000"/>
                </a:solidFill>
              </a:rPr>
              <a:t>Overall</a:t>
            </a:r>
            <a:r>
              <a:rPr lang="es-CO" sz="1200" b="1" baseline="0">
                <a:solidFill>
                  <a:sysClr val="windowText" lastClr="000000"/>
                </a:solidFill>
              </a:rPr>
              <a:t> Performance - Performance Indicator 6</a:t>
            </a:r>
            <a:endParaRPr lang="es-CO" sz="12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9867209395435739"/>
          <c:y val="2.4242247496840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58455797219846"/>
          <c:y val="0.12649696969696969"/>
          <c:w val="0.48819635913609871"/>
          <c:h val="0.8201696969696969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8E-4B7C-98D2-A82A0DC88793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E-4B7C-98D2-A82A0DC88793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8E-4B7C-98D2-A82A0DC88793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8E-4B7C-98D2-A82A0DC88793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FINAL_REPORT_ASESSMT_SO!$F$242:$I$242</c:f>
              <c:strCache>
                <c:ptCount val="4"/>
                <c:pt idx="0">
                  <c:v>Level 1 - Poor</c:v>
                </c:pt>
                <c:pt idx="1">
                  <c:v>Level 2 - Inadequate</c:v>
                </c:pt>
                <c:pt idx="2">
                  <c:v>Level 3 - Adequate</c:v>
                </c:pt>
                <c:pt idx="3">
                  <c:v>Level 4 - Exemplary</c:v>
                </c:pt>
              </c:strCache>
            </c:strRef>
          </c:cat>
          <c:val>
            <c:numRef>
              <c:f>FINAL_REPORT_ASESSMT_SO!$F$258:$I$258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8E-4B7C-98D2-A82A0DC88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image" Target="../media/image7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5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5" Type="http://schemas.openxmlformats.org/officeDocument/2006/relationships/image" Target="../media/image55.emf"/><Relationship Id="rId4" Type="http://schemas.openxmlformats.org/officeDocument/2006/relationships/image" Target="../media/image5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5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222251</xdr:colOff>
      <xdr:row>5</xdr:row>
      <xdr:rowOff>222250</xdr:rowOff>
    </xdr:from>
    <xdr:to>
      <xdr:col>7</xdr:col>
      <xdr:colOff>518583</xdr:colOff>
      <xdr:row>6</xdr:row>
      <xdr:rowOff>1608667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50084" y="984250"/>
          <a:ext cx="2307166" cy="256116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/>
            <a:t>INSTRUCTIONS</a:t>
          </a:r>
        </a:p>
        <a:p>
          <a:pPr algn="l"/>
          <a:r>
            <a:rPr lang="es-CO" sz="1600"/>
            <a:t>Select</a:t>
          </a:r>
          <a:r>
            <a:rPr lang="es-CO" sz="1600" baseline="0"/>
            <a:t> the Student Outcome in the  drop down list</a:t>
          </a:r>
        </a:p>
        <a:p>
          <a:pPr algn="l"/>
          <a:endParaRPr lang="es-CO" sz="1600"/>
        </a:p>
        <a:p>
          <a:pPr algn="l"/>
          <a:r>
            <a:rPr lang="es-CO" sz="1600" b="1" i="1" u="none"/>
            <a:t>INSTRUCCIONES</a:t>
          </a:r>
        </a:p>
        <a:p>
          <a:pPr algn="l"/>
          <a:r>
            <a:rPr lang="es-CO" sz="1600" i="1" u="none"/>
            <a:t>Seleccione el</a:t>
          </a:r>
          <a:r>
            <a:rPr lang="es-CO" sz="1600" i="1" u="none" baseline="0"/>
            <a:t> Student Outcome en la lista desplegable</a:t>
          </a:r>
          <a:endParaRPr lang="es-CO" sz="1600" i="1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1069181</xdr:colOff>
      <xdr:row>62</xdr:row>
      <xdr:rowOff>164307</xdr:rowOff>
    </xdr:from>
    <xdr:to>
      <xdr:col>8</xdr:col>
      <xdr:colOff>1312069</xdr:colOff>
      <xdr:row>77</xdr:row>
      <xdr:rowOff>50007</xdr:rowOff>
    </xdr:to>
    <xdr:graphicFrame macro="">
      <xdr:nvGraphicFramePr>
        <xdr:cNvPr id="330906" name="3 Gráfico">
          <a:extLst>
            <a:ext uri="{FF2B5EF4-FFF2-40B4-BE49-F238E27FC236}">
              <a16:creationId xmlns:a16="http://schemas.microsoft.com/office/drawing/2014/main" id="{00000000-0008-0000-0800-00009A0C0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0</xdr:row>
          <xdr:rowOff>57150</xdr:rowOff>
        </xdr:from>
        <xdr:to>
          <xdr:col>13</xdr:col>
          <xdr:colOff>276225</xdr:colOff>
          <xdr:row>1</xdr:row>
          <xdr:rowOff>361950</xdr:rowOff>
        </xdr:to>
        <xdr:sp macro="" textlink="">
          <xdr:nvSpPr>
            <xdr:cNvPr id="1025" name="Pegar_Información_Genera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257175</xdr:colOff>
          <xdr:row>1</xdr:row>
          <xdr:rowOff>409575</xdr:rowOff>
        </xdr:from>
        <xdr:to>
          <xdr:col>13</xdr:col>
          <xdr:colOff>276225</xdr:colOff>
          <xdr:row>4</xdr:row>
          <xdr:rowOff>174171</xdr:rowOff>
        </xdr:to>
        <xdr:sp macro="" textlink="">
          <xdr:nvSpPr>
            <xdr:cNvPr id="1026" name="Pegar_Calificacion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4</xdr:row>
          <xdr:rowOff>266700</xdr:rowOff>
        </xdr:from>
        <xdr:to>
          <xdr:col>13</xdr:col>
          <xdr:colOff>285750</xdr:colOff>
          <xdr:row>6</xdr:row>
          <xdr:rowOff>193222</xdr:rowOff>
        </xdr:to>
        <xdr:sp macro="" textlink="">
          <xdr:nvSpPr>
            <xdr:cNvPr id="1027" name="Pegar_Análi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261938</xdr:colOff>
      <xdr:row>10</xdr:row>
      <xdr:rowOff>845343</xdr:rowOff>
    </xdr:from>
    <xdr:to>
      <xdr:col>14</xdr:col>
      <xdr:colOff>726281</xdr:colOff>
      <xdr:row>39</xdr:row>
      <xdr:rowOff>119061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2358688" y="2940843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7</xdr:row>
          <xdr:rowOff>104775</xdr:rowOff>
        </xdr:from>
        <xdr:to>
          <xdr:col>13</xdr:col>
          <xdr:colOff>285750</xdr:colOff>
          <xdr:row>10</xdr:row>
          <xdr:rowOff>31295</xdr:rowOff>
        </xdr:to>
        <xdr:sp macro="" textlink="">
          <xdr:nvSpPr>
            <xdr:cNvPr id="1028" name="Next_Grou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10</xdr:row>
          <xdr:rowOff>123825</xdr:rowOff>
        </xdr:from>
        <xdr:to>
          <xdr:col>13</xdr:col>
          <xdr:colOff>285750</xdr:colOff>
          <xdr:row>10</xdr:row>
          <xdr:rowOff>628650</xdr:rowOff>
        </xdr:to>
        <xdr:sp macro="" textlink="">
          <xdr:nvSpPr>
            <xdr:cNvPr id="1029" name="Finalizar_Registro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1063737</xdr:colOff>
      <xdr:row>62</xdr:row>
      <xdr:rowOff>155801</xdr:rowOff>
    </xdr:from>
    <xdr:to>
      <xdr:col>8</xdr:col>
      <xdr:colOff>1304584</xdr:colOff>
      <xdr:row>77</xdr:row>
      <xdr:rowOff>41501</xdr:rowOff>
    </xdr:to>
    <xdr:graphicFrame macro="">
      <xdr:nvGraphicFramePr>
        <xdr:cNvPr id="131197" name="3 Gráfico">
          <a:extLst>
            <a:ext uri="{FF2B5EF4-FFF2-40B4-BE49-F238E27FC236}">
              <a16:creationId xmlns:a16="http://schemas.microsoft.com/office/drawing/2014/main" id="{00000000-0008-0000-0900-00007D00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57150</xdr:rowOff>
        </xdr:from>
        <xdr:to>
          <xdr:col>12</xdr:col>
          <xdr:colOff>733425</xdr:colOff>
          <xdr:row>1</xdr:row>
          <xdr:rowOff>361950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</xdr:row>
          <xdr:rowOff>400050</xdr:rowOff>
        </xdr:from>
        <xdr:to>
          <xdr:col>12</xdr:col>
          <xdr:colOff>733425</xdr:colOff>
          <xdr:row>4</xdr:row>
          <xdr:rowOff>209550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4</xdr:row>
          <xdr:rowOff>276225</xdr:rowOff>
        </xdr:from>
        <xdr:to>
          <xdr:col>12</xdr:col>
          <xdr:colOff>742950</xdr:colOff>
          <xdr:row>7</xdr:row>
          <xdr:rowOff>38100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9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273844</xdr:colOff>
      <xdr:row>10</xdr:row>
      <xdr:rowOff>833437</xdr:rowOff>
    </xdr:from>
    <xdr:to>
      <xdr:col>14</xdr:col>
      <xdr:colOff>321468</xdr:colOff>
      <xdr:row>40</xdr:row>
      <xdr:rowOff>166687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2370594" y="2964656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7</xdr:row>
          <xdr:rowOff>66675</xdr:rowOff>
        </xdr:from>
        <xdr:to>
          <xdr:col>12</xdr:col>
          <xdr:colOff>742950</xdr:colOff>
          <xdr:row>10</xdr:row>
          <xdr:rowOff>47625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10</xdr:row>
          <xdr:rowOff>85725</xdr:rowOff>
        </xdr:from>
        <xdr:to>
          <xdr:col>12</xdr:col>
          <xdr:colOff>742950</xdr:colOff>
          <xdr:row>10</xdr:row>
          <xdr:rowOff>590550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32998</xdr:colOff>
      <xdr:row>62</xdr:row>
      <xdr:rowOff>175532</xdr:rowOff>
    </xdr:from>
    <xdr:to>
      <xdr:col>9</xdr:col>
      <xdr:colOff>394948</xdr:colOff>
      <xdr:row>77</xdr:row>
      <xdr:rowOff>61232</xdr:rowOff>
    </xdr:to>
    <xdr:graphicFrame macro="">
      <xdr:nvGraphicFramePr>
        <xdr:cNvPr id="127366" name="Gráfico 1">
          <a:extLst>
            <a:ext uri="{FF2B5EF4-FFF2-40B4-BE49-F238E27FC236}">
              <a16:creationId xmlns:a16="http://schemas.microsoft.com/office/drawing/2014/main" id="{00000000-0008-0000-0A00-000086F1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0</xdr:row>
          <xdr:rowOff>57150</xdr:rowOff>
        </xdr:from>
        <xdr:to>
          <xdr:col>12</xdr:col>
          <xdr:colOff>666750</xdr:colOff>
          <xdr:row>1</xdr:row>
          <xdr:rowOff>361950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</xdr:row>
          <xdr:rowOff>409575</xdr:rowOff>
        </xdr:from>
        <xdr:to>
          <xdr:col>12</xdr:col>
          <xdr:colOff>666750</xdr:colOff>
          <xdr:row>4</xdr:row>
          <xdr:rowOff>228600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A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4</xdr:row>
          <xdr:rowOff>276225</xdr:rowOff>
        </xdr:from>
        <xdr:to>
          <xdr:col>12</xdr:col>
          <xdr:colOff>676275</xdr:colOff>
          <xdr:row>7</xdr:row>
          <xdr:rowOff>76200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A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404813</xdr:colOff>
      <xdr:row>10</xdr:row>
      <xdr:rowOff>857250</xdr:rowOff>
    </xdr:from>
    <xdr:to>
      <xdr:col>14</xdr:col>
      <xdr:colOff>381000</xdr:colOff>
      <xdr:row>39</xdr:row>
      <xdr:rowOff>130969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12358688" y="2940844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7</xdr:row>
          <xdr:rowOff>104775</xdr:rowOff>
        </xdr:from>
        <xdr:to>
          <xdr:col>12</xdr:col>
          <xdr:colOff>666750</xdr:colOff>
          <xdr:row>10</xdr:row>
          <xdr:rowOff>85725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A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10</xdr:row>
          <xdr:rowOff>123825</xdr:rowOff>
        </xdr:from>
        <xdr:to>
          <xdr:col>12</xdr:col>
          <xdr:colOff>666750</xdr:colOff>
          <xdr:row>10</xdr:row>
          <xdr:rowOff>628650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A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929368</xdr:colOff>
      <xdr:row>63</xdr:row>
      <xdr:rowOff>12246</xdr:rowOff>
    </xdr:from>
    <xdr:to>
      <xdr:col>9</xdr:col>
      <xdr:colOff>352425</xdr:colOff>
      <xdr:row>77</xdr:row>
      <xdr:rowOff>88446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0</xdr:row>
          <xdr:rowOff>76200</xdr:rowOff>
        </xdr:from>
        <xdr:to>
          <xdr:col>12</xdr:col>
          <xdr:colOff>695325</xdr:colOff>
          <xdr:row>1</xdr:row>
          <xdr:rowOff>381000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</xdr:row>
          <xdr:rowOff>19050</xdr:rowOff>
        </xdr:from>
        <xdr:to>
          <xdr:col>12</xdr:col>
          <xdr:colOff>695325</xdr:colOff>
          <xdr:row>4</xdr:row>
          <xdr:rowOff>247650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4</xdr:row>
          <xdr:rowOff>304800</xdr:rowOff>
        </xdr:from>
        <xdr:to>
          <xdr:col>12</xdr:col>
          <xdr:colOff>685800</xdr:colOff>
          <xdr:row>7</xdr:row>
          <xdr:rowOff>95250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B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369095</xdr:colOff>
      <xdr:row>10</xdr:row>
      <xdr:rowOff>761999</xdr:rowOff>
    </xdr:from>
    <xdr:to>
      <xdr:col>14</xdr:col>
      <xdr:colOff>345282</xdr:colOff>
      <xdr:row>39</xdr:row>
      <xdr:rowOff>35718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12322970" y="2845593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7</xdr:row>
          <xdr:rowOff>142875</xdr:rowOff>
        </xdr:from>
        <xdr:to>
          <xdr:col>12</xdr:col>
          <xdr:colOff>676275</xdr:colOff>
          <xdr:row>10</xdr:row>
          <xdr:rowOff>123825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B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10</xdr:row>
          <xdr:rowOff>171450</xdr:rowOff>
        </xdr:from>
        <xdr:to>
          <xdr:col>12</xdr:col>
          <xdr:colOff>676275</xdr:colOff>
          <xdr:row>10</xdr:row>
          <xdr:rowOff>676275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B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</xdr:colOff>
      <xdr:row>62</xdr:row>
      <xdr:rowOff>161925</xdr:rowOff>
    </xdr:from>
    <xdr:to>
      <xdr:col>9</xdr:col>
      <xdr:colOff>376237</xdr:colOff>
      <xdr:row>77</xdr:row>
      <xdr:rowOff>47625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0</xdr:row>
          <xdr:rowOff>85725</xdr:rowOff>
        </xdr:from>
        <xdr:to>
          <xdr:col>12</xdr:col>
          <xdr:colOff>657225</xdr:colOff>
          <xdr:row>1</xdr:row>
          <xdr:rowOff>400050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2</xdr:row>
          <xdr:rowOff>28575</xdr:rowOff>
        </xdr:from>
        <xdr:to>
          <xdr:col>12</xdr:col>
          <xdr:colOff>657225</xdr:colOff>
          <xdr:row>4</xdr:row>
          <xdr:rowOff>266700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5</xdr:row>
          <xdr:rowOff>19050</xdr:rowOff>
        </xdr:from>
        <xdr:to>
          <xdr:col>12</xdr:col>
          <xdr:colOff>666750</xdr:colOff>
          <xdr:row>7</xdr:row>
          <xdr:rowOff>123825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C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345282</xdr:colOff>
      <xdr:row>10</xdr:row>
      <xdr:rowOff>738187</xdr:rowOff>
    </xdr:from>
    <xdr:to>
      <xdr:col>14</xdr:col>
      <xdr:colOff>321469</xdr:colOff>
      <xdr:row>40</xdr:row>
      <xdr:rowOff>59531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2299157" y="2821781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7</xdr:row>
          <xdr:rowOff>180975</xdr:rowOff>
        </xdr:from>
        <xdr:to>
          <xdr:col>12</xdr:col>
          <xdr:colOff>666750</xdr:colOff>
          <xdr:row>10</xdr:row>
          <xdr:rowOff>161925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C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10</xdr:row>
          <xdr:rowOff>209550</xdr:rowOff>
        </xdr:from>
        <xdr:to>
          <xdr:col>12</xdr:col>
          <xdr:colOff>666750</xdr:colOff>
          <xdr:row>10</xdr:row>
          <xdr:rowOff>714375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C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D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12442031" y="2976562"/>
          <a:ext cx="3167062" cy="60602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304800</xdr:rowOff>
        </xdr:from>
        <xdr:to>
          <xdr:col>12</xdr:col>
          <xdr:colOff>685800</xdr:colOff>
          <xdr:row>10</xdr:row>
          <xdr:rowOff>809625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D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8</xdr:row>
          <xdr:rowOff>57150</xdr:rowOff>
        </xdr:from>
        <xdr:to>
          <xdr:col>12</xdr:col>
          <xdr:colOff>676275</xdr:colOff>
          <xdr:row>10</xdr:row>
          <xdr:rowOff>219075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D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13315" name="CommandButton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E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333375</xdr:rowOff>
        </xdr:from>
        <xdr:to>
          <xdr:col>12</xdr:col>
          <xdr:colOff>685800</xdr:colOff>
          <xdr:row>10</xdr:row>
          <xdr:rowOff>838200</xdr:rowOff>
        </xdr:to>
        <xdr:sp macro="" textlink="">
          <xdr:nvSpPr>
            <xdr:cNvPr id="13316" name="CommandButton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E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8</xdr:row>
          <xdr:rowOff>85725</xdr:rowOff>
        </xdr:from>
        <xdr:to>
          <xdr:col>12</xdr:col>
          <xdr:colOff>676275</xdr:colOff>
          <xdr:row>10</xdr:row>
          <xdr:rowOff>238125</xdr:rowOff>
        </xdr:to>
        <xdr:sp macro="" textlink="">
          <xdr:nvSpPr>
            <xdr:cNvPr id="13318" name="CommandButton5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E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F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5443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F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333375</xdr:rowOff>
        </xdr:from>
        <xdr:to>
          <xdr:col>12</xdr:col>
          <xdr:colOff>685800</xdr:colOff>
          <xdr:row>10</xdr:row>
          <xdr:rowOff>838200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F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8</xdr:row>
          <xdr:rowOff>85725</xdr:rowOff>
        </xdr:from>
        <xdr:to>
          <xdr:col>12</xdr:col>
          <xdr:colOff>657225</xdr:colOff>
          <xdr:row>10</xdr:row>
          <xdr:rowOff>228600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F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2531" name="CommandButton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0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314325</xdr:rowOff>
        </xdr:from>
        <xdr:to>
          <xdr:col>12</xdr:col>
          <xdr:colOff>685800</xdr:colOff>
          <xdr:row>10</xdr:row>
          <xdr:rowOff>828675</xdr:rowOff>
        </xdr:to>
        <xdr:sp macro="" textlink="">
          <xdr:nvSpPr>
            <xdr:cNvPr id="22532" name="CommandButton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0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8</xdr:row>
          <xdr:rowOff>76200</xdr:rowOff>
        </xdr:from>
        <xdr:to>
          <xdr:col>12</xdr:col>
          <xdr:colOff>666750</xdr:colOff>
          <xdr:row>10</xdr:row>
          <xdr:rowOff>219075</xdr:rowOff>
        </xdr:to>
        <xdr:sp macro="" textlink="">
          <xdr:nvSpPr>
            <xdr:cNvPr id="22534" name="CommandButton5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10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4</xdr:row>
          <xdr:rowOff>277586</xdr:rowOff>
        </xdr:to>
        <xdr:sp macro="" textlink="">
          <xdr:nvSpPr>
            <xdr:cNvPr id="23554" name="CommandButton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3555" name="CommandButton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1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314325</xdr:rowOff>
        </xdr:from>
        <xdr:to>
          <xdr:col>12</xdr:col>
          <xdr:colOff>685800</xdr:colOff>
          <xdr:row>10</xdr:row>
          <xdr:rowOff>828675</xdr:rowOff>
        </xdr:to>
        <xdr:sp macro="" textlink="">
          <xdr:nvSpPr>
            <xdr:cNvPr id="23556" name="CommandButton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1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8</xdr:row>
          <xdr:rowOff>66675</xdr:rowOff>
        </xdr:from>
        <xdr:to>
          <xdr:col>12</xdr:col>
          <xdr:colOff>666750</xdr:colOff>
          <xdr:row>10</xdr:row>
          <xdr:rowOff>200024</xdr:rowOff>
        </xdr:to>
        <xdr:sp macro="" textlink="">
          <xdr:nvSpPr>
            <xdr:cNvPr id="23558" name="CommandButton5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1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4</xdr:row>
          <xdr:rowOff>250372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4579" name="CommandButton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304800</xdr:rowOff>
        </xdr:from>
        <xdr:to>
          <xdr:col>12</xdr:col>
          <xdr:colOff>685800</xdr:colOff>
          <xdr:row>10</xdr:row>
          <xdr:rowOff>809625</xdr:rowOff>
        </xdr:to>
        <xdr:sp macro="" textlink="">
          <xdr:nvSpPr>
            <xdr:cNvPr id="24580" name="CommandButton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8</xdr:row>
          <xdr:rowOff>95250</xdr:rowOff>
        </xdr:from>
        <xdr:to>
          <xdr:col>12</xdr:col>
          <xdr:colOff>647700</xdr:colOff>
          <xdr:row>10</xdr:row>
          <xdr:rowOff>219074</xdr:rowOff>
        </xdr:to>
        <xdr:sp macro="" textlink="">
          <xdr:nvSpPr>
            <xdr:cNvPr id="24583" name="CommandButton5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2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3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5603" name="CommandButton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3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314325</xdr:rowOff>
        </xdr:from>
        <xdr:to>
          <xdr:col>12</xdr:col>
          <xdr:colOff>685800</xdr:colOff>
          <xdr:row>10</xdr:row>
          <xdr:rowOff>828675</xdr:rowOff>
        </xdr:to>
        <xdr:sp macro="" textlink="">
          <xdr:nvSpPr>
            <xdr:cNvPr id="25604" name="CommandButton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3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8</xdr:row>
          <xdr:rowOff>95250</xdr:rowOff>
        </xdr:from>
        <xdr:to>
          <xdr:col>12</xdr:col>
          <xdr:colOff>685800</xdr:colOff>
          <xdr:row>10</xdr:row>
          <xdr:rowOff>209550</xdr:rowOff>
        </xdr:to>
        <xdr:sp macro="" textlink="">
          <xdr:nvSpPr>
            <xdr:cNvPr id="25606" name="CommandButton5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4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314325</xdr:rowOff>
        </xdr:from>
        <xdr:to>
          <xdr:col>12</xdr:col>
          <xdr:colOff>685800</xdr:colOff>
          <xdr:row>10</xdr:row>
          <xdr:rowOff>828675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8</xdr:row>
          <xdr:rowOff>85725</xdr:rowOff>
        </xdr:from>
        <xdr:to>
          <xdr:col>12</xdr:col>
          <xdr:colOff>676275</xdr:colOff>
          <xdr:row>10</xdr:row>
          <xdr:rowOff>200025</xdr:rowOff>
        </xdr:to>
        <xdr:sp macro="" textlink="">
          <xdr:nvSpPr>
            <xdr:cNvPr id="26630" name="CommandButton5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4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5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5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10</xdr:row>
          <xdr:rowOff>314325</xdr:rowOff>
        </xdr:from>
        <xdr:to>
          <xdr:col>12</xdr:col>
          <xdr:colOff>685800</xdr:colOff>
          <xdr:row>10</xdr:row>
          <xdr:rowOff>828675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5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8</xdr:row>
          <xdr:rowOff>85725</xdr:rowOff>
        </xdr:from>
        <xdr:to>
          <xdr:col>12</xdr:col>
          <xdr:colOff>666750</xdr:colOff>
          <xdr:row>10</xdr:row>
          <xdr:rowOff>200025</xdr:rowOff>
        </xdr:to>
        <xdr:sp macro="" textlink="">
          <xdr:nvSpPr>
            <xdr:cNvPr id="27654" name="CommandButton5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5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17689</xdr:colOff>
      <xdr:row>63</xdr:row>
      <xdr:rowOff>25853</xdr:rowOff>
    </xdr:from>
    <xdr:to>
      <xdr:col>9</xdr:col>
      <xdr:colOff>379639</xdr:colOff>
      <xdr:row>77</xdr:row>
      <xdr:rowOff>102053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0</xdr:row>
          <xdr:rowOff>133350</xdr:rowOff>
        </xdr:from>
        <xdr:to>
          <xdr:col>12</xdr:col>
          <xdr:colOff>676275</xdr:colOff>
          <xdr:row>2</xdr:row>
          <xdr:rowOff>28575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3</xdr:row>
          <xdr:rowOff>19050</xdr:rowOff>
        </xdr:from>
        <xdr:to>
          <xdr:col>12</xdr:col>
          <xdr:colOff>676275</xdr:colOff>
          <xdr:row>5</xdr:row>
          <xdr:rowOff>19050</xdr:rowOff>
        </xdr:to>
        <xdr:sp macro="" textlink="">
          <xdr:nvSpPr>
            <xdr:cNvPr id="28674" name="CommandButton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6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5</xdr:row>
          <xdr:rowOff>66675</xdr:rowOff>
        </xdr:from>
        <xdr:to>
          <xdr:col>12</xdr:col>
          <xdr:colOff>685800</xdr:colOff>
          <xdr:row>7</xdr:row>
          <xdr:rowOff>171450</xdr:rowOff>
        </xdr:to>
        <xdr:sp macro="" textlink="">
          <xdr:nvSpPr>
            <xdr:cNvPr id="28675" name="CommandButton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16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488156</xdr:colOff>
      <xdr:row>10</xdr:row>
      <xdr:rowOff>892968</xdr:rowOff>
    </xdr:from>
    <xdr:to>
      <xdr:col>14</xdr:col>
      <xdr:colOff>464343</xdr:colOff>
      <xdr:row>39</xdr:row>
      <xdr:rowOff>166687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5994856" y="2988468"/>
          <a:ext cx="3157537" cy="60650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 b="1"/>
            <a:t>INSTRUCTIONS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400" baseline="0"/>
            <a:t>1</a:t>
          </a:r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From the Data_Assessment</a:t>
          </a:r>
        </a:p>
        <a:p>
          <a:pPr algn="l"/>
          <a:r>
            <a:rPr lang="es-CO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Press "Copy General information" botton, then in this file Press "Paste </a:t>
          </a:r>
          <a:r>
            <a:rPr lang="es-CO" sz="1400" baseline="0"/>
            <a:t>General Information" botton</a:t>
          </a:r>
        </a:p>
        <a:p>
          <a:pPr algn="l"/>
          <a:r>
            <a:rPr lang="es-CO" sz="1400" baseline="0"/>
            <a:t>2. From the Data_Assessment Press "Copy Score" botton, then in this file Press "Paste Score" botton</a:t>
          </a:r>
        </a:p>
        <a:p>
          <a:pPr algn="l"/>
          <a:r>
            <a:rPr lang="es-CO" sz="1400" baseline="0"/>
            <a:t>3. Form the Data_Assessment Press "Copy Ananlysis" botton, then in this file Press "Paste Analysis" botton</a:t>
          </a:r>
        </a:p>
        <a:p>
          <a:pPr algn="l"/>
          <a:endParaRPr lang="es-CO" sz="14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es-CO" sz="14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INSTRUCCIONES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1. En el archivo Data_Assessment presiona el botón  "Copy General information", y luego en este archvo presiona "Paste General Information".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2. En el archivo Data_Assessment presiona el botón "Copy Score", y luego en este archivo presiona "Paste Score "</a:t>
          </a:r>
        </a:p>
        <a:p>
          <a:pPr algn="l"/>
          <a:r>
            <a:rPr lang="es-CO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3. En el  archivo Data_Assessment presiona el botón  "Copy Analysis", luego en este archiv presiona "Paste Analysis"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8</xdr:row>
          <xdr:rowOff>57150</xdr:rowOff>
        </xdr:from>
        <xdr:to>
          <xdr:col>12</xdr:col>
          <xdr:colOff>685800</xdr:colOff>
          <xdr:row>10</xdr:row>
          <xdr:rowOff>228600</xdr:rowOff>
        </xdr:to>
        <xdr:sp macro="" textlink="">
          <xdr:nvSpPr>
            <xdr:cNvPr id="28676" name="CommandButton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16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542925</xdr:colOff>
      <xdr:row>49</xdr:row>
      <xdr:rowOff>142875</xdr:rowOff>
    </xdr:from>
    <xdr:to>
      <xdr:col>6</xdr:col>
      <xdr:colOff>1181100</xdr:colOff>
      <xdr:row>63</xdr:row>
      <xdr:rowOff>85725</xdr:rowOff>
    </xdr:to>
    <xdr:graphicFrame macro="">
      <xdr:nvGraphicFramePr>
        <xdr:cNvPr id="552526" name="Gráfico 7">
          <a:extLst>
            <a:ext uri="{FF2B5EF4-FFF2-40B4-BE49-F238E27FC236}">
              <a16:creationId xmlns:a16="http://schemas.microsoft.com/office/drawing/2014/main" id="{00000000-0008-0000-1700-00004E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1247775</xdr:colOff>
      <xdr:row>49</xdr:row>
      <xdr:rowOff>142875</xdr:rowOff>
    </xdr:from>
    <xdr:to>
      <xdr:col>10</xdr:col>
      <xdr:colOff>438150</xdr:colOff>
      <xdr:row>63</xdr:row>
      <xdr:rowOff>95250</xdr:rowOff>
    </xdr:to>
    <xdr:graphicFrame macro="">
      <xdr:nvGraphicFramePr>
        <xdr:cNvPr id="552527" name="Gráfico 1">
          <a:extLst>
            <a:ext uri="{FF2B5EF4-FFF2-40B4-BE49-F238E27FC236}">
              <a16:creationId xmlns:a16="http://schemas.microsoft.com/office/drawing/2014/main" id="{00000000-0008-0000-1700-00004F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542925</xdr:colOff>
      <xdr:row>91</xdr:row>
      <xdr:rowOff>142875</xdr:rowOff>
    </xdr:from>
    <xdr:to>
      <xdr:col>6</xdr:col>
      <xdr:colOff>1181100</xdr:colOff>
      <xdr:row>105</xdr:row>
      <xdr:rowOff>85725</xdr:rowOff>
    </xdr:to>
    <xdr:graphicFrame macro="">
      <xdr:nvGraphicFramePr>
        <xdr:cNvPr id="552528" name="Gráfico 9">
          <a:extLst>
            <a:ext uri="{FF2B5EF4-FFF2-40B4-BE49-F238E27FC236}">
              <a16:creationId xmlns:a16="http://schemas.microsoft.com/office/drawing/2014/main" id="{00000000-0008-0000-1700-000050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1247775</xdr:colOff>
      <xdr:row>91</xdr:row>
      <xdr:rowOff>142875</xdr:rowOff>
    </xdr:from>
    <xdr:to>
      <xdr:col>10</xdr:col>
      <xdr:colOff>438150</xdr:colOff>
      <xdr:row>105</xdr:row>
      <xdr:rowOff>95250</xdr:rowOff>
    </xdr:to>
    <xdr:graphicFrame macro="">
      <xdr:nvGraphicFramePr>
        <xdr:cNvPr id="552529" name="Gráfico 10">
          <a:extLst>
            <a:ext uri="{FF2B5EF4-FFF2-40B4-BE49-F238E27FC236}">
              <a16:creationId xmlns:a16="http://schemas.microsoft.com/office/drawing/2014/main" id="{00000000-0008-0000-1700-000051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542925</xdr:colOff>
      <xdr:row>133</xdr:row>
      <xdr:rowOff>142875</xdr:rowOff>
    </xdr:from>
    <xdr:to>
      <xdr:col>6</xdr:col>
      <xdr:colOff>1181100</xdr:colOff>
      <xdr:row>147</xdr:row>
      <xdr:rowOff>85725</xdr:rowOff>
    </xdr:to>
    <xdr:graphicFrame macro="">
      <xdr:nvGraphicFramePr>
        <xdr:cNvPr id="552530" name="Gráfico 14">
          <a:extLst>
            <a:ext uri="{FF2B5EF4-FFF2-40B4-BE49-F238E27FC236}">
              <a16:creationId xmlns:a16="http://schemas.microsoft.com/office/drawing/2014/main" id="{00000000-0008-0000-1700-000052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1247775</xdr:colOff>
      <xdr:row>133</xdr:row>
      <xdr:rowOff>142875</xdr:rowOff>
    </xdr:from>
    <xdr:to>
      <xdr:col>10</xdr:col>
      <xdr:colOff>438150</xdr:colOff>
      <xdr:row>147</xdr:row>
      <xdr:rowOff>95250</xdr:rowOff>
    </xdr:to>
    <xdr:graphicFrame macro="">
      <xdr:nvGraphicFramePr>
        <xdr:cNvPr id="552531" name="Gráfico 15">
          <a:extLst>
            <a:ext uri="{FF2B5EF4-FFF2-40B4-BE49-F238E27FC236}">
              <a16:creationId xmlns:a16="http://schemas.microsoft.com/office/drawing/2014/main" id="{00000000-0008-0000-1700-000053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1123950</xdr:colOff>
      <xdr:row>282</xdr:row>
      <xdr:rowOff>114300</xdr:rowOff>
    </xdr:from>
    <xdr:to>
      <xdr:col>8</xdr:col>
      <xdr:colOff>1190625</xdr:colOff>
      <xdr:row>296</xdr:row>
      <xdr:rowOff>9525</xdr:rowOff>
    </xdr:to>
    <xdr:graphicFrame macro="">
      <xdr:nvGraphicFramePr>
        <xdr:cNvPr id="552532" name="Gráfico 14">
          <a:extLst>
            <a:ext uri="{FF2B5EF4-FFF2-40B4-BE49-F238E27FC236}">
              <a16:creationId xmlns:a16="http://schemas.microsoft.com/office/drawing/2014/main" id="{00000000-0008-0000-1700-0000546E0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571500</xdr:colOff>
      <xdr:row>175</xdr:row>
      <xdr:rowOff>85725</xdr:rowOff>
    </xdr:from>
    <xdr:to>
      <xdr:col>6</xdr:col>
      <xdr:colOff>1209675</xdr:colOff>
      <xdr:row>189</xdr:row>
      <xdr:rowOff>76200</xdr:rowOff>
    </xdr:to>
    <xdr:graphicFrame macro="">
      <xdr:nvGraphicFramePr>
        <xdr:cNvPr id="10" name="Gráfico 14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1247775</xdr:colOff>
      <xdr:row>175</xdr:row>
      <xdr:rowOff>142875</xdr:rowOff>
    </xdr:from>
    <xdr:to>
      <xdr:col>10</xdr:col>
      <xdr:colOff>438150</xdr:colOff>
      <xdr:row>189</xdr:row>
      <xdr:rowOff>95250</xdr:rowOff>
    </xdr:to>
    <xdr:graphicFrame macro="">
      <xdr:nvGraphicFramePr>
        <xdr:cNvPr id="11" name="Gráfico 15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571500</xdr:colOff>
      <xdr:row>217</xdr:row>
      <xdr:rowOff>85725</xdr:rowOff>
    </xdr:from>
    <xdr:to>
      <xdr:col>6</xdr:col>
      <xdr:colOff>1209675</xdr:colOff>
      <xdr:row>231</xdr:row>
      <xdr:rowOff>76200</xdr:rowOff>
    </xdr:to>
    <xdr:graphicFrame macro="">
      <xdr:nvGraphicFramePr>
        <xdr:cNvPr id="12" name="Gráfico 14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1247775</xdr:colOff>
      <xdr:row>217</xdr:row>
      <xdr:rowOff>142875</xdr:rowOff>
    </xdr:from>
    <xdr:to>
      <xdr:col>10</xdr:col>
      <xdr:colOff>438150</xdr:colOff>
      <xdr:row>231</xdr:row>
      <xdr:rowOff>95250</xdr:rowOff>
    </xdr:to>
    <xdr:graphicFrame macro="">
      <xdr:nvGraphicFramePr>
        <xdr:cNvPr id="13" name="Gráfico 15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571500</xdr:colOff>
      <xdr:row>259</xdr:row>
      <xdr:rowOff>85725</xdr:rowOff>
    </xdr:from>
    <xdr:to>
      <xdr:col>6</xdr:col>
      <xdr:colOff>1209675</xdr:colOff>
      <xdr:row>273</xdr:row>
      <xdr:rowOff>76200</xdr:rowOff>
    </xdr:to>
    <xdr:graphicFrame macro="">
      <xdr:nvGraphicFramePr>
        <xdr:cNvPr id="14" name="Gráfico 14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1247775</xdr:colOff>
      <xdr:row>259</xdr:row>
      <xdr:rowOff>142875</xdr:rowOff>
    </xdr:from>
    <xdr:to>
      <xdr:col>10</xdr:col>
      <xdr:colOff>438150</xdr:colOff>
      <xdr:row>273</xdr:row>
      <xdr:rowOff>95250</xdr:rowOff>
    </xdr:to>
    <xdr:graphicFrame macro="">
      <xdr:nvGraphicFramePr>
        <xdr:cNvPr id="15" name="Gráfico 15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7</xdr:col>
      <xdr:colOff>137584</xdr:colOff>
      <xdr:row>3</xdr:row>
      <xdr:rowOff>31750</xdr:rowOff>
    </xdr:from>
    <xdr:to>
      <xdr:col>10</xdr:col>
      <xdr:colOff>663576</xdr:colOff>
      <xdr:row>6</xdr:row>
      <xdr:rowOff>188384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1834" y="592667"/>
          <a:ext cx="4970992" cy="9609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2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2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7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67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8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-0.499984740745262"/>
  </sheetPr>
  <dimension ref="A2:R996"/>
  <sheetViews>
    <sheetView showGridLines="0" tabSelected="1" zoomScale="80" zoomScaleNormal="80" zoomScaleSheetLayoutView="70" workbookViewId="0">
      <pane ySplit="4" topLeftCell="A5" activePane="bottomLeft" state="frozen"/>
      <selection pane="bottomLeft" activeCell="A2" sqref="A2:A4"/>
    </sheetView>
  </sheetViews>
  <sheetFormatPr baseColWidth="10" defaultColWidth="14.42578125" defaultRowHeight="15" x14ac:dyDescent="0.25"/>
  <cols>
    <col min="1" max="1" width="43.85546875" customWidth="1"/>
    <col min="2" max="2" width="27.5703125" customWidth="1"/>
    <col min="3" max="3" width="32.85546875" customWidth="1"/>
    <col min="4" max="4" width="28.7109375" customWidth="1"/>
    <col min="5" max="5" width="32.42578125" customWidth="1"/>
    <col min="6" max="18" width="15.140625" customWidth="1"/>
  </cols>
  <sheetData>
    <row r="2" spans="1:18" ht="15" customHeight="1" x14ac:dyDescent="0.25">
      <c r="A2" s="123" t="s">
        <v>5</v>
      </c>
      <c r="B2" s="123" t="str">
        <f>+IF(A2=A17,B17,IF(A2=A18,B18,IF(A2=A19,B19,IF(A2=A20,B20,IF(A2=A21,B21," ")))))</f>
        <v xml:space="preserve"> La capacidad de operar los procesos de importación y exportación de acuerdo a la normatividad vigente.</v>
      </c>
      <c r="C2" s="123"/>
      <c r="D2" s="123"/>
      <c r="E2" s="123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</row>
    <row r="3" spans="1:18" ht="15" customHeight="1" x14ac:dyDescent="0.25">
      <c r="A3" s="123"/>
      <c r="B3" s="123"/>
      <c r="C3" s="123"/>
      <c r="D3" s="123"/>
      <c r="E3" s="123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</row>
    <row r="4" spans="1:18" ht="15" customHeight="1" x14ac:dyDescent="0.25">
      <c r="A4" s="123"/>
      <c r="B4" s="123"/>
      <c r="C4" s="123"/>
      <c r="D4" s="123"/>
      <c r="E4" s="123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1:18" ht="15" customHeight="1" x14ac:dyDescent="0.25">
      <c r="A5" s="78"/>
      <c r="B5" s="78"/>
      <c r="C5" s="78"/>
      <c r="D5" s="78"/>
      <c r="E5" s="78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92.25" customHeight="1" x14ac:dyDescent="0.25">
      <c r="A6" s="79" t="str">
        <f>+"Rúbrica "&amp;A2</f>
        <v>Rúbrica RA1</v>
      </c>
      <c r="B6" s="80" t="s">
        <v>0</v>
      </c>
      <c r="C6" s="80" t="s">
        <v>1</v>
      </c>
      <c r="D6" s="80" t="s">
        <v>2</v>
      </c>
      <c r="E6" s="80" t="s">
        <v>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46.25" customHeight="1" x14ac:dyDescent="0.25">
      <c r="A7" s="82" t="str">
        <f>+IF($A$2=$A$17,'1'!A6,IF($A$2=$A$18,'2'!A6,IF($A$2=$A$19,'3'!A6,IF($A$2=$A$20,'4'!A6,IF($A$2=$A$21,'5'!A6,IF($A$2=$A$22,'6'!A6,IF($A$2=$A$23,'7'!A6," ")))))))</f>
        <v>Identificar los procedimientos generales para exportación e importación de bienes, tanto al interior de la empresa como ante terceros.
(Claridad, pertinencia y coherencia)</v>
      </c>
      <c r="B7" s="83" t="str">
        <f>+IF($A$2=$A$17,'1'!B6,IF($A$2=$A$18,'2'!B6,IF($A$2=$A$19,'3'!B6,IF($A$2=$A$20,'4'!B6,IF($A$2=$A$21,'5'!B6,IF($A$2=$A$22,'6'!B6,IF($A$2=$A$23,'7'!B6," ")))))))</f>
        <v>No identifica los procedimientos generales para exportaciones e importaciones.</v>
      </c>
      <c r="C7" s="83" t="str">
        <f>+IF($A$2=$A$17,'1'!C6,IF($A$2=$A$18,'2'!C6,IF($A$2=$A$19,'3'!C6,IF($A$2=$A$20,'4'!C6,IF($A$2=$A$21,'5'!C6,IF($A$2=$A$22,'6'!C6,IF($A$2=$A$23,'7'!C6," ")))))))</f>
        <v>Identifica los procedimientos generales para exportaciones e importaciones, pero no con el nivel de claridad que se requiere.</v>
      </c>
      <c r="D7" s="83" t="str">
        <f>+IF($A$2=$A$17,'1'!D6,IF($A$2=$A$18,'2'!D6,IF($A$2=$A$19,'3'!D6,IF($A$2=$A$20,'4'!D6,IF($A$2=$A$21,'5'!D6,IF($A$2=$A$22,'6'!D6,IF($A$2=$A$23,'7'!D6," ")))))))</f>
        <v>Identifica claramente los procedimientos generales para exportaciones e importaciones, teniendo en cuenta las consideraciones y variables del entorno</v>
      </c>
      <c r="E7" s="83" t="str">
        <f>+IF($A$2=$A$17,'1'!E6,IF($A$2=$A$18,'2'!E6,IF($A$2=$A$19,'3'!E6,IF($A$2=$A$20,'4'!E6,IF($A$2=$A$21,'5'!E6,IF($A$2=$A$22,'6'!E6,IF($A$2=$A$23,'7'!E6," ")))))))</f>
        <v>Identifica claramente y en su totalidad los procedimientos generales para exportaciones e importaciones, teniendo en cuenta las consideraciones y variables del entorno, proponiendo nuevas necesidades y problemas que no habían sido evidenciados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</row>
    <row r="8" spans="1:18" ht="132" customHeight="1" x14ac:dyDescent="0.25">
      <c r="A8" s="82" t="str">
        <f>+IF($A$2=$A$17,'1'!A7,IF($A$2=$A$18,'2'!A7,IF($A$2=$A$19,'3'!A7,IF($A$2=$A$20,'4'!A7,IF($A$2=$A$21,'5'!A7,IF($A$2=$A$22,'6'!A7,IF($A$2=$A$23,'7'!A7," ")))))))</f>
        <v>Clasificar los trámites para importación y exportación al interior de la empresa y ante organismos competentes . (Claridad, Pertinencia)</v>
      </c>
      <c r="B8" s="83" t="str">
        <f>+IF($A$2=$A$17,'1'!B7,IF($A$2=$A$18,'2'!B7,IF($A$2=$A$19,'3'!B7,IF($A$2=$A$20,'4'!B7,IF($A$2=$A$21,'5'!B7,IF($A$2=$A$22,'6'!B7,IF($A$2=$A$23,'7'!B7," ")))))))</f>
        <v>No clasifica  los trámites para importación y exportación, al interior de la empresa y ante organismos competentes.</v>
      </c>
      <c r="C8" s="83" t="str">
        <f>+IF($A$2=$A$17,'1'!C7,IF($A$2=$A$18,'2'!C7,IF($A$2=$A$19,'3'!C7,IF($A$2=$A$20,'4'!C7,IF($A$2=$A$21,'5'!C7,IF($A$2=$A$22,'6'!C7,IF($A$2=$A$23,'7'!C7," ")))))))</f>
        <v xml:space="preserve"> Clasifica los trámites para importaciones y exportaciones, al interior de la empresa y ante organismos competentes, pero no realiza la selección de la alternativa mas pertinente., teniendo en cuenta criterios y restricciones establecidas</v>
      </c>
      <c r="D8" s="83" t="str">
        <f>+IF($A$2=$A$17,'1'!D7,IF($A$2=$A$18,'2'!D7,IF($A$2=$A$19,'3'!D7,IF($A$2=$A$20,'4'!D7,IF($A$2=$A$21,'5'!D7,IF($A$2=$A$22,'6'!D7,IF($A$2=$A$23,'7'!D7," ")))))))</f>
        <v>Clasifica  claramente  los trámites para importaciones y exportaciones, al interior de la empresa y ante organismos competentes, teniendo en cuenta al menos un criterio de selección y restricción</v>
      </c>
      <c r="E8" s="83" t="str">
        <f>+IF($A$2=$A$17,'1'!E7,IF($A$2=$A$18,'2'!E7,IF($A$2=$A$19,'3'!E7,IF($A$2=$A$20,'4'!E7,IF($A$2=$A$21,'5'!E7,IF($A$2=$A$22,'6'!E7,IF($A$2=$A$23,'7'!E7," ")))))))</f>
        <v>Clasifica claramente  los trámites para importaciones y exportaciones, al interior de la empresa y ante organismos competentes,  a partir de mas de un criterio y restricción establecida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</row>
    <row r="9" spans="1:18" ht="135" customHeight="1" x14ac:dyDescent="0.25">
      <c r="A9" s="82" t="str">
        <f>+IF($A$2=$A$17,'1'!A8,IF($A$2=$A$18,'2'!A8,IF($A$2=$A$19,'3'!A8,IF($A$2=$A$20,'4'!A8,IF($A$2=$A$21,'5'!A8,IF($A$2=$A$22,'6'!A8,IF($A$2=$A$23,'7'!A8," ")))))))</f>
        <v>Diligenciar adecuada y oportunamente la documentación relacionada con la legalización de los procesos de importación y exportación, atendiendo la legislación vigente. (Estructura, Pertinencia)</v>
      </c>
      <c r="B9" s="83" t="str">
        <f>+IF($A$2=$A$17,'1'!B8,IF($A$2=$A$18,'2'!B8,IF($A$2=$A$19,'3'!B8,IF($A$2=$A$20,'4'!B8,IF($A$2=$A$21,'5'!B8,IF($A$2=$A$22,'6'!B8,IF($A$2=$A$23,'7'!B8," ")))))))</f>
        <v xml:space="preserve">No diligencia adecuada y oportunamente la documentación. </v>
      </c>
      <c r="C9" s="83" t="str">
        <f>+IF($A$2=$A$17,'1'!C8,IF($A$2=$A$18,'2'!C8,IF($A$2=$A$19,'3'!C8,IF($A$2=$A$20,'4'!C8,IF($A$2=$A$21,'5'!C8,IF($A$2=$A$22,'6'!C8,IF($A$2=$A$23,'7'!C8," ")))))))</f>
        <v>Diligencia la documentación, pero cumpliendo solo uno de los criterios establecidos (es decir, el diligenciamiento es pertinente pero no es estructurado, o el diligenciamiento es estructurado pero no es pertinente.</v>
      </c>
      <c r="D9" s="83" t="str">
        <f>+IF($A$2=$A$17,'1'!D8,IF($A$2=$A$18,'2'!D8,IF($A$2=$A$19,'3'!D8,IF($A$2=$A$20,'4'!D8,IF($A$2=$A$21,'5'!D8,IF($A$2=$A$22,'6'!D8,IF($A$2=$A$23,'7'!D8," ")))))))</f>
        <v>Diligencia la documentación de manera pertinente y estructurada, atendiendo la legislación pertinente, no obstante hay inexactitudes en el resultado.</v>
      </c>
      <c r="E9" s="83" t="str">
        <f>+IF($A$2=$A$17,'1'!E8,IF($A$2=$A$18,'2'!E8,IF($A$2=$A$19,'3'!E8,IF($A$2=$A$20,'4'!E8,IF($A$2=$A$21,'5'!E8,IF($A$2=$A$22,'6'!E8,IF($A$2=$A$23,'7'!E8," ")))))))</f>
        <v>Diligencia la documentación de manera pertinente y estructurada, atendiendo la legislación pertinente y se cumple a cabalidad con el resultado.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</row>
    <row r="10" spans="1:18" ht="135" customHeight="1" x14ac:dyDescent="0.25">
      <c r="A10" s="82" t="str">
        <f>+IF($A$2=$A$17,'1'!A9,IF($A$2=$A$18,'2'!A9,IF($A$2=$A$19,'3'!A9,IF($A$2=$A$20,'4'!A9,IF($A$2=$A$21,'5'!A9,IF($A$2=$A$22,'6'!A9,IF($A$2=$A$23,'7'!A9," ")))))))</f>
        <v>Verifica los procedimientos aplicando criterios para la rectificación de la información y documentación en las operaciones de importación e importación. (Pertinencia y Originalidad)</v>
      </c>
      <c r="B10" s="83" t="str">
        <f>+IF($A$2=$A$17,'1'!B9,IF($A$2=$A$18,'2'!B9,IF($A$2=$A$19,'3'!B9,IF($A$2=$A$20,'4'!B9,IF($A$2=$A$21,'5'!B9,IF($A$2=$A$22,'6'!B9,IF($A$2=$A$23,'7'!B9," ")))))))</f>
        <v>No verifica ni rectifica los procedimientos.</v>
      </c>
      <c r="C10" s="83" t="str">
        <f>+IF($A$2=$A$17,'1'!C9,IF($A$2=$A$18,'2'!C9,IF($A$2=$A$19,'3'!C9,IF($A$2=$A$20,'4'!C9,IF($A$2=$A$21,'5'!C9,IF($A$2=$A$22,'6'!C9,IF($A$2=$A$23,'7'!C9," ")))))))</f>
        <v>Verifica y rectifica parcialmente  los procedimientos,</v>
      </c>
      <c r="D10" s="83" t="str">
        <f>+IF($A$2=$A$17,'1'!D9,IF($A$2=$A$18,'2'!D9,IF($A$2=$A$19,'3'!D9,IF($A$2=$A$20,'4'!D9,IF($A$2=$A$21,'5'!D9,IF($A$2=$A$22,'6'!D9,IF($A$2=$A$23,'7'!D9," ")))))))</f>
        <v>Verifica y rectifica los procedimientos, no obstante, se evidencian omisiones y/o errores en la documentación.</v>
      </c>
      <c r="E10" s="83" t="str">
        <f>+IF($A$2=$A$17,'1'!E9,IF($A$2=$A$18,'2'!E9,IF($A$2=$A$19,'3'!E9,IF($A$2=$A$20,'4'!E9,IF($A$2=$A$21,'5'!E9,IF($A$2=$A$22,'6'!E9,IF($A$2=$A$23,'7'!E9," ")))))))</f>
        <v>Verifica y rectifica los procedimientos, cumpliendo con pertinencia la normatividad vigente.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</row>
    <row r="11" spans="1:18" ht="135" customHeight="1" x14ac:dyDescent="0.25">
      <c r="A11" s="82">
        <f>+IF($A$2=$A$17,'1'!A10,IF($A$2=$A$18,'2'!A10,IF($A$2=$A$19,'3'!A10,IF($A$2=$A$20,'4'!A10,IF($A$2=$A$21,'5'!A10,IF($A$2=$A$22,'6'!A10,IF($A$2=$A$23,'7'!A10," ")))))))</f>
        <v>0</v>
      </c>
      <c r="B11" s="83">
        <f>+IF($A$2=$A$17,'1'!B10,IF($A$2=$A$18,'2'!B10,IF($A$2=$A$19,'3'!B10,IF($A$2=$A$20,'4'!B10,IF($A$2=$A$21,'5'!B10,IF($A$2=$A$22,'6'!B10,IF($A$2=$A$23,'7'!B10," ")))))))</f>
        <v>0</v>
      </c>
      <c r="C11" s="83">
        <f>+IF($A$2=$A$17,'1'!C10,IF($A$2=$A$18,'2'!C10,IF($A$2=$A$19,'3'!C10,IF($A$2=$A$20,'4'!C10,IF($A$2=$A$21,'5'!C10,IF($A$2=$A$22,'6'!C10,IF($A$2=$A$23,'7'!C10," ")))))))</f>
        <v>0</v>
      </c>
      <c r="D11" s="83">
        <f>+IF($A$2=$A$17,'1'!D10,IF($A$2=$A$18,'2'!D10,IF($A$2=$A$19,'3'!D10,IF($A$2=$A$20,'4'!D10,IF($A$2=$A$21,'5'!D10,IF($A$2=$A$22,'6'!D10,IF($A$2=$A$23,'7'!D10," ")))))))</f>
        <v>0</v>
      </c>
      <c r="E11" s="83">
        <f>+IF($A$2=$A$17,'1'!E10,IF($A$2=$A$18,'2'!E10,IF($A$2=$A$19,'3'!E10,IF($A$2=$A$20,'4'!E10,IF($A$2=$A$21,'5'!E10,IF($A$2=$A$22,'6'!E10,IF($A$2=$A$23,'7'!E10," ")))))))</f>
        <v>0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</row>
    <row r="12" spans="1:18" ht="125.25" customHeight="1" x14ac:dyDescent="0.25">
      <c r="A12" s="82">
        <f>+IF($A$2=$A$17,'1'!A11,IF($A$2=$A$18,'2'!A11,IF($A$2=$A$19,'3'!A11,IF($A$2=$A$20,'4'!A11,IF($A$2=$A$21,'5'!A11,IF($A$2=$A$22,'6'!A11,IF($A$2=$A$23,'7'!A11," ")))))))</f>
        <v>0</v>
      </c>
      <c r="B12" s="83">
        <f>+IF($A$2=$A$17,'1'!B11,IF($A$2=$A$18,'2'!B11,IF($A$2=$A$19,'3'!B11,IF($A$2=$A$20,'4'!B11,IF($A$2=$A$21,'5'!B11,IF($A$2=$A$22,'6'!B11,IF($A$2=$A$23,'7'!B11," ")))))))</f>
        <v>0</v>
      </c>
      <c r="C12" s="83">
        <f>+IF($A$2=$A$17,'1'!C11,IF($A$2=$A$18,'2'!C11,IF($A$2=$A$19,'3'!C11,IF($A$2=$A$20,'4'!C11,IF($A$2=$A$21,'5'!C11,IF($A$2=$A$22,'6'!C11,IF($A$2=$A$23,'7'!C11," ")))))))</f>
        <v>0</v>
      </c>
      <c r="D12" s="83">
        <f>+IF($A$2=$A$17,'1'!D11,IF($A$2=$A$18,'2'!D11,IF($A$2=$A$19,'3'!D11,IF($A$2=$A$20,'4'!D11,IF($A$2=$A$21,'5'!D11,IF($A$2=$A$22,'6'!D11,IF($A$2=$A$23,'7'!D11," ")))))))</f>
        <v>0</v>
      </c>
      <c r="E12" s="83">
        <f>+IF($A$2=$A$17,'1'!E11,IF($A$2=$A$18,'2'!E11,IF($A$2=$A$19,'3'!E11,IF($A$2=$A$20,'4'!E11,IF($A$2=$A$21,'5'!E11,IF($A$2=$A$22,'6'!E11,IF($A$2=$A$23,'7'!E11," ")))))))</f>
        <v>0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</row>
    <row r="13" spans="1:18" x14ac:dyDescent="0.25">
      <c r="A13" s="77" t="s">
        <v>4</v>
      </c>
      <c r="B13" s="42"/>
      <c r="C13" s="42"/>
      <c r="D13" s="42"/>
      <c r="E13" s="43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</row>
    <row r="14" spans="1:18" x14ac:dyDescent="0.25">
      <c r="A14" s="51"/>
      <c r="B14" s="49"/>
      <c r="C14" s="49"/>
      <c r="D14" s="49"/>
      <c r="E14" s="49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</row>
    <row r="15" spans="1:18" ht="15" customHeight="1" x14ac:dyDescent="0.25"/>
    <row r="16" spans="1:18" ht="15" customHeight="1" x14ac:dyDescent="0.25"/>
    <row r="17" spans="1:2" ht="15.75" hidden="1" customHeight="1" x14ac:dyDescent="0.25">
      <c r="A17" s="81" t="s">
        <v>5</v>
      </c>
      <c r="B17" s="81" t="s">
        <v>6</v>
      </c>
    </row>
    <row r="18" spans="1:2" ht="15.75" hidden="1" customHeight="1" x14ac:dyDescent="0.25">
      <c r="A18" s="81" t="s">
        <v>7</v>
      </c>
      <c r="B18" s="81" t="s">
        <v>8</v>
      </c>
    </row>
    <row r="19" spans="1:2" ht="15.75" hidden="1" customHeight="1" x14ac:dyDescent="0.25">
      <c r="A19" s="81" t="s">
        <v>9</v>
      </c>
      <c r="B19" s="81" t="s">
        <v>10</v>
      </c>
    </row>
    <row r="20" spans="1:2" ht="15.75" hidden="1" customHeight="1" x14ac:dyDescent="0.25">
      <c r="A20" s="81" t="s">
        <v>11</v>
      </c>
      <c r="B20" s="81" t="s">
        <v>12</v>
      </c>
    </row>
    <row r="21" spans="1:2" ht="15.75" hidden="1" customHeight="1" x14ac:dyDescent="0.25">
      <c r="A21" s="81" t="s">
        <v>13</v>
      </c>
      <c r="B21" s="81" t="s">
        <v>14</v>
      </c>
    </row>
    <row r="22" spans="1:2" ht="15.75" hidden="1" customHeight="1" x14ac:dyDescent="0.25">
      <c r="A22" s="81"/>
      <c r="B22" s="81"/>
    </row>
    <row r="23" spans="1:2" ht="15.75" hidden="1" customHeight="1" x14ac:dyDescent="0.25">
      <c r="A23" s="81"/>
      <c r="B23" s="81"/>
    </row>
    <row r="24" spans="1:2" ht="15.75" hidden="1" customHeight="1" x14ac:dyDescent="0.25"/>
    <row r="25" spans="1:2" ht="15.75" customHeight="1" x14ac:dyDescent="0.25"/>
    <row r="26" spans="1:2" ht="15.75" customHeight="1" x14ac:dyDescent="0.25"/>
    <row r="27" spans="1:2" ht="15.75" customHeight="1" x14ac:dyDescent="0.25"/>
    <row r="28" spans="1:2" ht="15.75" customHeight="1" x14ac:dyDescent="0.25"/>
    <row r="29" spans="1:2" ht="15.75" customHeight="1" x14ac:dyDescent="0.25"/>
    <row r="30" spans="1:2" ht="15.75" customHeight="1" x14ac:dyDescent="0.25"/>
    <row r="31" spans="1:2" ht="15.75" customHeight="1" x14ac:dyDescent="0.25"/>
    <row r="32" spans="1: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2:A4"/>
    <mergeCell ref="B2:E4"/>
  </mergeCells>
  <conditionalFormatting sqref="A7:A12">
    <cfRule type="cellIs" dxfId="309" priority="3" operator="equal">
      <formula>0</formula>
    </cfRule>
  </conditionalFormatting>
  <conditionalFormatting sqref="B7:E12">
    <cfRule type="cellIs" dxfId="308" priority="2" operator="equal">
      <formula>0</formula>
    </cfRule>
  </conditionalFormatting>
  <conditionalFormatting sqref="B2:E4">
    <cfRule type="cellIs" dxfId="307" priority="1" operator="equal">
      <formula>0</formula>
    </cfRule>
  </conditionalFormatting>
  <dataValidations count="1">
    <dataValidation type="list" allowBlank="1" showInputMessage="1" showErrorMessage="1" sqref="A2:A4" xr:uid="{00000000-0002-0000-0000-000000000000}">
      <formula1>$A$17:$A$23</formula1>
    </dataValidation>
  </dataValidations>
  <pageMargins left="0.7" right="0.7" top="0.75" bottom="0.75" header="0.3" footer="0.3"/>
  <pageSetup paperSize="9" scale="41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R944"/>
  <sheetViews>
    <sheetView zoomScale="70" zoomScaleNormal="7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E9"/>
    </sheetView>
  </sheetViews>
  <sheetFormatPr baseColWidth="10" defaultColWidth="14.42578125" defaultRowHeight="15" customHeight="1" x14ac:dyDescent="0.25"/>
  <cols>
    <col min="1" max="1" width="43.85546875" style="56" customWidth="1"/>
    <col min="2" max="2" width="27.5703125" style="56" customWidth="1"/>
    <col min="3" max="3" width="32.85546875" style="56" customWidth="1"/>
    <col min="4" max="4" width="28.7109375" style="56" customWidth="1"/>
    <col min="5" max="5" width="32.42578125" style="56" customWidth="1"/>
    <col min="6" max="18" width="15.140625" style="56" customWidth="1"/>
    <col min="19" max="16384" width="14.42578125" style="56"/>
  </cols>
  <sheetData>
    <row r="1" spans="1:18" ht="18" customHeight="1" x14ac:dyDescent="0.25">
      <c r="A1" s="124" t="s">
        <v>15</v>
      </c>
      <c r="B1" s="125"/>
      <c r="C1" s="125"/>
      <c r="D1" s="125"/>
      <c r="E1" s="126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18" ht="47.25" customHeight="1" x14ac:dyDescent="0.25">
      <c r="A2" s="127"/>
      <c r="B2" s="128"/>
      <c r="C2" s="128"/>
      <c r="D2" s="128"/>
      <c r="E2" s="129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8" ht="18" customHeight="1" x14ac:dyDescent="0.25">
      <c r="A3" s="130"/>
      <c r="B3" s="131"/>
      <c r="C3" s="131"/>
      <c r="D3" s="131"/>
      <c r="E3" s="132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ht="15" customHeight="1" x14ac:dyDescent="0.25">
      <c r="A4" s="57"/>
      <c r="B4" s="57"/>
      <c r="C4" s="57"/>
      <c r="D4" s="57"/>
      <c r="E4" s="57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ht="92.25" customHeight="1" x14ac:dyDescent="0.25">
      <c r="A5" s="58" t="s">
        <v>16</v>
      </c>
      <c r="B5" s="59" t="s">
        <v>0</v>
      </c>
      <c r="C5" s="59" t="s">
        <v>1</v>
      </c>
      <c r="D5" s="59" t="s">
        <v>2</v>
      </c>
      <c r="E5" s="59" t="s">
        <v>3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8" ht="129" customHeight="1" x14ac:dyDescent="0.25">
      <c r="A6" s="108" t="s">
        <v>17</v>
      </c>
      <c r="B6" s="109" t="s">
        <v>18</v>
      </c>
      <c r="C6" s="116" t="s">
        <v>19</v>
      </c>
      <c r="D6" s="116" t="s">
        <v>20</v>
      </c>
      <c r="E6" s="116" t="s">
        <v>21</v>
      </c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</row>
    <row r="7" spans="1:18" ht="129" customHeight="1" x14ac:dyDescent="0.25">
      <c r="A7" s="108" t="s">
        <v>22</v>
      </c>
      <c r="B7" s="116" t="s">
        <v>23</v>
      </c>
      <c r="C7" s="116" t="s">
        <v>24</v>
      </c>
      <c r="D7" s="116" t="s">
        <v>25</v>
      </c>
      <c r="E7" s="116" t="s">
        <v>26</v>
      </c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</row>
    <row r="8" spans="1:18" ht="129" customHeight="1" x14ac:dyDescent="0.25">
      <c r="A8" s="108" t="s">
        <v>27</v>
      </c>
      <c r="B8" s="116" t="s">
        <v>28</v>
      </c>
      <c r="C8" s="116" t="s">
        <v>29</v>
      </c>
      <c r="D8" s="116" t="s">
        <v>30</v>
      </c>
      <c r="E8" s="116" t="s">
        <v>31</v>
      </c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ht="129" customHeight="1" x14ac:dyDescent="0.25">
      <c r="A9" s="108" t="s">
        <v>32</v>
      </c>
      <c r="B9" s="116" t="s">
        <v>33</v>
      </c>
      <c r="C9" s="116" t="s">
        <v>34</v>
      </c>
      <c r="D9" s="116" t="s">
        <v>35</v>
      </c>
      <c r="E9" s="116" t="s">
        <v>36</v>
      </c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</row>
    <row r="10" spans="1:18" ht="161.25" customHeight="1" x14ac:dyDescent="0.25">
      <c r="A10" s="60"/>
      <c r="B10" s="61"/>
      <c r="C10" s="61"/>
      <c r="D10" s="61"/>
      <c r="E10" s="61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</row>
    <row r="11" spans="1:18" ht="129" customHeight="1" x14ac:dyDescent="0.25">
      <c r="A11" s="60"/>
      <c r="B11" s="61"/>
      <c r="C11" s="61"/>
      <c r="D11" s="63"/>
      <c r="E11" s="61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</row>
    <row r="12" spans="1:18" x14ac:dyDescent="0.25">
      <c r="A12" s="64" t="s">
        <v>37</v>
      </c>
      <c r="B12" s="64" t="s">
        <v>37</v>
      </c>
      <c r="C12" s="64" t="s">
        <v>37</v>
      </c>
      <c r="D12" s="64" t="s">
        <v>37</v>
      </c>
      <c r="E12" s="64" t="s">
        <v>37</v>
      </c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</row>
    <row r="13" spans="1:18" x14ac:dyDescent="0.25">
      <c r="A13" s="65"/>
      <c r="B13" s="66"/>
      <c r="C13" s="66"/>
      <c r="D13" s="66"/>
      <c r="E13" s="66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R937"/>
  <sheetViews>
    <sheetView zoomScale="70" zoomScaleNormal="7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E9"/>
    </sheetView>
  </sheetViews>
  <sheetFormatPr baseColWidth="10" defaultColWidth="14.42578125" defaultRowHeight="15" customHeight="1" x14ac:dyDescent="0.25"/>
  <cols>
    <col min="1" max="1" width="43.85546875" style="56" customWidth="1"/>
    <col min="2" max="4" width="27.42578125" style="56" customWidth="1"/>
    <col min="5" max="5" width="37.7109375" style="56" customWidth="1"/>
    <col min="6" max="18" width="15.140625" style="56" customWidth="1"/>
    <col min="19" max="16384" width="14.42578125" style="56"/>
  </cols>
  <sheetData>
    <row r="1" spans="1:18" ht="15" customHeight="1" x14ac:dyDescent="0.25">
      <c r="A1" s="124" t="s">
        <v>38</v>
      </c>
      <c r="B1" s="125"/>
      <c r="C1" s="125"/>
      <c r="D1" s="125"/>
      <c r="E1" s="126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18" ht="43.5" customHeight="1" x14ac:dyDescent="0.25">
      <c r="A2" s="127"/>
      <c r="B2" s="128"/>
      <c r="C2" s="128"/>
      <c r="D2" s="128"/>
      <c r="E2" s="129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8" ht="18" customHeight="1" x14ac:dyDescent="0.25">
      <c r="A3" s="130"/>
      <c r="B3" s="131"/>
      <c r="C3" s="131"/>
      <c r="D3" s="131"/>
      <c r="E3" s="132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ht="36.75" customHeight="1" x14ac:dyDescent="0.25">
      <c r="A4" s="57"/>
      <c r="B4" s="57"/>
      <c r="C4" s="57"/>
      <c r="D4" s="57"/>
      <c r="E4" s="57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ht="71.25" customHeight="1" x14ac:dyDescent="0.25">
      <c r="A5" s="58" t="s">
        <v>39</v>
      </c>
      <c r="B5" s="59" t="s">
        <v>0</v>
      </c>
      <c r="C5" s="67" t="s">
        <v>1</v>
      </c>
      <c r="D5" s="67" t="s">
        <v>2</v>
      </c>
      <c r="E5" s="67" t="s">
        <v>3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8" ht="166.5" customHeight="1" x14ac:dyDescent="0.25">
      <c r="A6" s="108" t="s">
        <v>40</v>
      </c>
      <c r="B6" s="109" t="s">
        <v>41</v>
      </c>
      <c r="C6" s="116" t="s">
        <v>42</v>
      </c>
      <c r="D6" s="116" t="s">
        <v>43</v>
      </c>
      <c r="E6" s="116" t="s">
        <v>44</v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</row>
    <row r="7" spans="1:18" ht="166.5" customHeight="1" x14ac:dyDescent="0.25">
      <c r="A7" s="108" t="s">
        <v>45</v>
      </c>
      <c r="B7" s="116" t="s">
        <v>46</v>
      </c>
      <c r="C7" s="116" t="s">
        <v>47</v>
      </c>
      <c r="D7" s="116" t="s">
        <v>48</v>
      </c>
      <c r="E7" s="116" t="s">
        <v>49</v>
      </c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</row>
    <row r="8" spans="1:18" ht="166.5" customHeight="1" x14ac:dyDescent="0.25">
      <c r="A8" s="108" t="s">
        <v>50</v>
      </c>
      <c r="B8" s="116" t="s">
        <v>51</v>
      </c>
      <c r="C8" s="116" t="s">
        <v>52</v>
      </c>
      <c r="D8" s="116" t="s">
        <v>53</v>
      </c>
      <c r="E8" s="116" t="s">
        <v>54</v>
      </c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</row>
    <row r="9" spans="1:18" ht="166.5" customHeight="1" x14ac:dyDescent="0.25">
      <c r="A9" s="108" t="s">
        <v>55</v>
      </c>
      <c r="B9" s="116" t="s">
        <v>56</v>
      </c>
      <c r="C9" s="116" t="s">
        <v>57</v>
      </c>
      <c r="D9" s="116" t="s">
        <v>58</v>
      </c>
      <c r="E9" s="116" t="s">
        <v>59</v>
      </c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</row>
    <row r="10" spans="1:18" ht="166.5" customHeight="1" x14ac:dyDescent="0.25">
      <c r="A10" s="60"/>
      <c r="B10" s="61"/>
      <c r="C10" s="61"/>
      <c r="D10" s="61"/>
      <c r="E10" s="61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</row>
    <row r="11" spans="1:18" ht="18.75" x14ac:dyDescent="0.25">
      <c r="A11" s="60"/>
      <c r="B11" s="61"/>
      <c r="C11" s="61"/>
      <c r="D11" s="61"/>
      <c r="E11" s="61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</row>
    <row r="12" spans="1:18" x14ac:dyDescent="0.25">
      <c r="A12" s="64" t="s">
        <v>37</v>
      </c>
      <c r="B12" s="64" t="s">
        <v>37</v>
      </c>
      <c r="C12" s="64" t="s">
        <v>37</v>
      </c>
      <c r="D12" s="64" t="s">
        <v>37</v>
      </c>
      <c r="E12" s="64" t="s">
        <v>37</v>
      </c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</row>
    <row r="13" spans="1:18" x14ac:dyDescent="0.25">
      <c r="A13" s="66"/>
      <c r="B13" s="66"/>
      <c r="C13" s="66"/>
      <c r="D13" s="66"/>
      <c r="E13" s="66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R858"/>
  <sheetViews>
    <sheetView zoomScale="70" zoomScaleNormal="7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E8"/>
    </sheetView>
  </sheetViews>
  <sheetFormatPr baseColWidth="10" defaultColWidth="14.42578125" defaultRowHeight="15" customHeight="1" x14ac:dyDescent="0.25"/>
  <cols>
    <col min="1" max="1" width="43.85546875" style="56" customWidth="1"/>
    <col min="2" max="4" width="26.85546875" style="56" customWidth="1"/>
    <col min="5" max="5" width="30.140625" style="56" customWidth="1"/>
    <col min="6" max="18" width="15.140625" style="56" customWidth="1"/>
    <col min="19" max="16384" width="14.42578125" style="56"/>
  </cols>
  <sheetData>
    <row r="1" spans="1:18" ht="15" customHeight="1" x14ac:dyDescent="0.25">
      <c r="A1" s="124" t="s">
        <v>60</v>
      </c>
      <c r="B1" s="125"/>
      <c r="C1" s="125"/>
      <c r="D1" s="125"/>
      <c r="E1" s="126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18" ht="36" customHeight="1" x14ac:dyDescent="0.25">
      <c r="A2" s="127"/>
      <c r="B2" s="128"/>
      <c r="C2" s="128"/>
      <c r="D2" s="128"/>
      <c r="E2" s="129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8" ht="15" customHeight="1" x14ac:dyDescent="0.25">
      <c r="A3" s="130"/>
      <c r="B3" s="131"/>
      <c r="C3" s="131"/>
      <c r="D3" s="131"/>
      <c r="E3" s="132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ht="15" customHeight="1" x14ac:dyDescent="0.25">
      <c r="A4" s="57"/>
      <c r="B4" s="57"/>
      <c r="C4" s="57"/>
      <c r="D4" s="57"/>
      <c r="E4" s="57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ht="94.5" customHeight="1" x14ac:dyDescent="0.25">
      <c r="A5" s="58" t="s">
        <v>61</v>
      </c>
      <c r="B5" s="59" t="s">
        <v>0</v>
      </c>
      <c r="C5" s="67" t="s">
        <v>1</v>
      </c>
      <c r="D5" s="67" t="s">
        <v>2</v>
      </c>
      <c r="E5" s="67" t="s">
        <v>3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8" ht="128.25" customHeight="1" x14ac:dyDescent="0.25">
      <c r="A6" s="108" t="s">
        <v>62</v>
      </c>
      <c r="B6" s="116" t="s">
        <v>63</v>
      </c>
      <c r="C6" s="116" t="s">
        <v>64</v>
      </c>
      <c r="D6" s="116" t="s">
        <v>65</v>
      </c>
      <c r="E6" s="116" t="s">
        <v>66</v>
      </c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</row>
    <row r="7" spans="1:18" ht="128.25" customHeight="1" x14ac:dyDescent="0.25">
      <c r="A7" s="108" t="s">
        <v>67</v>
      </c>
      <c r="B7" s="116" t="s">
        <v>68</v>
      </c>
      <c r="C7" s="116" t="s">
        <v>69</v>
      </c>
      <c r="D7" s="116" t="s">
        <v>70</v>
      </c>
      <c r="E7" s="116" t="s">
        <v>71</v>
      </c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</row>
    <row r="8" spans="1:18" ht="128.25" customHeight="1" x14ac:dyDescent="0.25">
      <c r="A8" s="117" t="s">
        <v>72</v>
      </c>
      <c r="B8" s="118" t="s">
        <v>73</v>
      </c>
      <c r="C8" s="118" t="s">
        <v>74</v>
      </c>
      <c r="D8" s="119" t="s">
        <v>75</v>
      </c>
      <c r="E8" s="118" t="s">
        <v>76</v>
      </c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ht="128.25" customHeight="1" x14ac:dyDescent="0.25">
      <c r="A9" s="111"/>
      <c r="B9" s="110"/>
      <c r="C9" s="110"/>
      <c r="D9" s="110"/>
      <c r="E9" s="110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</row>
    <row r="10" spans="1:18" ht="128.25" customHeight="1" x14ac:dyDescent="0.25">
      <c r="A10" s="70"/>
      <c r="B10" s="122"/>
      <c r="C10" s="122"/>
      <c r="D10" s="122"/>
      <c r="E10" s="122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</row>
    <row r="11" spans="1:18" ht="128.25" customHeight="1" x14ac:dyDescent="0.25">
      <c r="A11" s="70"/>
      <c r="B11" s="122"/>
      <c r="C11" s="122"/>
      <c r="D11" s="122"/>
      <c r="E11" s="122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</row>
    <row r="12" spans="1:18" x14ac:dyDescent="0.25">
      <c r="A12" s="64"/>
      <c r="B12" s="64" t="s">
        <v>37</v>
      </c>
      <c r="C12" s="64" t="s">
        <v>37</v>
      </c>
      <c r="D12" s="64" t="s">
        <v>37</v>
      </c>
      <c r="E12" s="64" t="s">
        <v>37</v>
      </c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</row>
    <row r="13" spans="1:18" x14ac:dyDescent="0.25">
      <c r="A13" s="65"/>
      <c r="B13" s="66"/>
      <c r="C13" s="66"/>
      <c r="D13" s="66"/>
      <c r="E13" s="66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1:18" ht="15.75" customHeight="1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</row>
    <row r="15" spans="1:18" ht="15.75" customHeight="1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</row>
    <row r="16" spans="1:18" ht="15.75" customHeight="1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</row>
    <row r="17" spans="1:18" ht="15.75" customHeight="1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</row>
    <row r="18" spans="1:18" ht="15.75" customHeight="1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</row>
    <row r="19" spans="1:18" ht="15.75" customHeight="1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</row>
    <row r="20" spans="1:18" ht="15.75" customHeight="1" x14ac:dyDescent="0.25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</row>
    <row r="21" spans="1:18" ht="15.75" customHeight="1" x14ac:dyDescent="0.25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</row>
    <row r="22" spans="1:18" ht="15.75" customHeight="1" x14ac:dyDescent="0.25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</row>
    <row r="23" spans="1:18" ht="15.75" customHeight="1" x14ac:dyDescent="0.25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</row>
    <row r="24" spans="1:18" ht="15.75" customHeight="1" x14ac:dyDescent="0.25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</row>
    <row r="25" spans="1:18" ht="15.75" customHeight="1" x14ac:dyDescent="0.25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</row>
    <row r="26" spans="1:18" ht="15.75" customHeight="1" x14ac:dyDescent="0.25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</row>
    <row r="27" spans="1:18" ht="15.75" customHeight="1" x14ac:dyDescent="0.25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</row>
    <row r="28" spans="1:18" ht="15.75" customHeight="1" x14ac:dyDescent="0.25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</row>
    <row r="29" spans="1:18" ht="15.75" customHeight="1" x14ac:dyDescent="0.25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</row>
    <row r="30" spans="1:18" ht="15.75" customHeight="1" x14ac:dyDescent="0.2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</row>
    <row r="31" spans="1:18" ht="15.75" customHeight="1" x14ac:dyDescent="0.25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</row>
    <row r="32" spans="1:18" ht="15.75" customHeight="1" x14ac:dyDescent="0.2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</row>
    <row r="33" spans="1:18" ht="15.75" customHeight="1" x14ac:dyDescent="0.25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</row>
    <row r="34" spans="1:18" ht="15.75" customHeight="1" x14ac:dyDescent="0.25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</row>
    <row r="35" spans="1:18" ht="15.75" customHeight="1" x14ac:dyDescent="0.25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</row>
    <row r="36" spans="1:18" ht="15.75" customHeight="1" x14ac:dyDescent="0.25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</row>
    <row r="37" spans="1:18" ht="15.75" customHeight="1" x14ac:dyDescent="0.2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</row>
    <row r="38" spans="1:18" ht="15.75" customHeight="1" x14ac:dyDescent="0.25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</row>
    <row r="39" spans="1:18" ht="15.75" customHeight="1" x14ac:dyDescent="0.2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</row>
    <row r="40" spans="1:18" ht="15.75" customHeight="1" x14ac:dyDescent="0.25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</row>
    <row r="41" spans="1:18" ht="15.75" customHeight="1" x14ac:dyDescent="0.25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</row>
    <row r="42" spans="1:18" ht="15.75" customHeight="1" x14ac:dyDescent="0.25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</row>
    <row r="43" spans="1:18" ht="15.75" customHeight="1" x14ac:dyDescent="0.25">
      <c r="A43" s="55"/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</row>
    <row r="44" spans="1:18" ht="15.75" customHeight="1" x14ac:dyDescent="0.2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</row>
    <row r="45" spans="1:18" ht="15.75" customHeight="1" x14ac:dyDescent="0.25">
      <c r="A45" s="55"/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</row>
    <row r="46" spans="1:18" ht="15.75" customHeight="1" x14ac:dyDescent="0.2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</row>
    <row r="47" spans="1:18" ht="15.75" customHeight="1" x14ac:dyDescent="0.2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</row>
    <row r="48" spans="1:18" ht="15.75" customHeight="1" x14ac:dyDescent="0.25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</row>
    <row r="49" spans="1:18" ht="15.75" customHeight="1" x14ac:dyDescent="0.25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</row>
    <row r="50" spans="1:18" ht="15.75" customHeight="1" x14ac:dyDescent="0.25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</row>
    <row r="51" spans="1:18" ht="15.75" customHeight="1" x14ac:dyDescent="0.2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</row>
    <row r="52" spans="1:18" ht="15.75" customHeight="1" x14ac:dyDescent="0.25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</row>
    <row r="53" spans="1:18" ht="15.75" customHeight="1" x14ac:dyDescent="0.25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</row>
    <row r="54" spans="1:18" ht="15.75" customHeight="1" x14ac:dyDescent="0.25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</row>
    <row r="55" spans="1:18" ht="15.75" customHeight="1" x14ac:dyDescent="0.2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</row>
    <row r="56" spans="1:18" ht="15.75" customHeight="1" x14ac:dyDescent="0.25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</row>
    <row r="57" spans="1:18" ht="15.75" customHeight="1" x14ac:dyDescent="0.25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</row>
    <row r="58" spans="1:18" ht="15.75" customHeight="1" x14ac:dyDescent="0.25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</row>
    <row r="59" spans="1:18" ht="15.75" customHeight="1" x14ac:dyDescent="0.25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</row>
    <row r="60" spans="1:18" ht="15.75" customHeight="1" x14ac:dyDescent="0.25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</row>
    <row r="61" spans="1:18" ht="15.75" customHeight="1" x14ac:dyDescent="0.25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</row>
    <row r="62" spans="1:18" ht="15.75" customHeight="1" x14ac:dyDescent="0.2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</row>
    <row r="63" spans="1:18" ht="15.75" customHeight="1" x14ac:dyDescent="0.2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</row>
    <row r="64" spans="1:18" ht="15.75" customHeight="1" x14ac:dyDescent="0.25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</row>
    <row r="65" spans="1:18" ht="15.75" customHeight="1" x14ac:dyDescent="0.25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</row>
    <row r="66" spans="1:18" ht="15.75" customHeight="1" x14ac:dyDescent="0.25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</row>
    <row r="67" spans="1:18" ht="15.75" customHeight="1" x14ac:dyDescent="0.25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</row>
    <row r="68" spans="1:18" ht="15.75" customHeight="1" x14ac:dyDescent="0.25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</row>
    <row r="69" spans="1:18" ht="15.75" customHeight="1" x14ac:dyDescent="0.25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</row>
    <row r="70" spans="1:18" ht="15.75" customHeight="1" x14ac:dyDescent="0.25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</row>
    <row r="71" spans="1:18" ht="15.75" customHeight="1" x14ac:dyDescent="0.25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</row>
    <row r="72" spans="1:18" ht="15.75" customHeight="1" x14ac:dyDescent="0.25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</row>
    <row r="73" spans="1:18" ht="15.75" customHeight="1" x14ac:dyDescent="0.25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</row>
    <row r="74" spans="1:18" ht="15.75" customHeight="1" x14ac:dyDescent="0.25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</row>
    <row r="75" spans="1:18" ht="15.75" customHeight="1" x14ac:dyDescent="0.25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</row>
    <row r="76" spans="1:18" ht="15.75" customHeight="1" x14ac:dyDescent="0.25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</row>
    <row r="77" spans="1:18" ht="15.75" customHeight="1" x14ac:dyDescent="0.25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</row>
    <row r="78" spans="1:18" ht="15.75" customHeight="1" x14ac:dyDescent="0.25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</row>
    <row r="79" spans="1:18" ht="15.75" customHeight="1" x14ac:dyDescent="0.25"/>
    <row r="80" spans="1:1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R995"/>
  <sheetViews>
    <sheetView zoomScale="70" zoomScaleNormal="7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E9"/>
    </sheetView>
  </sheetViews>
  <sheetFormatPr baseColWidth="10" defaultColWidth="14.42578125" defaultRowHeight="15" customHeight="1" x14ac:dyDescent="0.25"/>
  <cols>
    <col min="1" max="1" width="43.85546875" style="56" customWidth="1"/>
    <col min="2" max="5" width="26.85546875" style="56" customWidth="1"/>
    <col min="6" max="18" width="15.140625" style="56" customWidth="1"/>
    <col min="19" max="16384" width="14.42578125" style="56"/>
  </cols>
  <sheetData>
    <row r="1" spans="1:18" ht="15" customHeight="1" x14ac:dyDescent="0.25">
      <c r="A1" s="124" t="s">
        <v>77</v>
      </c>
      <c r="B1" s="125"/>
      <c r="C1" s="125"/>
      <c r="D1" s="125"/>
      <c r="E1" s="126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18" ht="36.75" customHeight="1" x14ac:dyDescent="0.25">
      <c r="A2" s="127"/>
      <c r="B2" s="128"/>
      <c r="C2" s="128"/>
      <c r="D2" s="128"/>
      <c r="E2" s="129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8" ht="15" customHeight="1" x14ac:dyDescent="0.25">
      <c r="A3" s="130"/>
      <c r="B3" s="131"/>
      <c r="C3" s="131"/>
      <c r="D3" s="131"/>
      <c r="E3" s="132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ht="15" customHeight="1" x14ac:dyDescent="0.25">
      <c r="A4" s="57"/>
      <c r="B4" s="57"/>
      <c r="C4" s="57"/>
      <c r="D4" s="57"/>
      <c r="E4" s="57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ht="75.75" customHeight="1" x14ac:dyDescent="0.25">
      <c r="A5" s="58" t="s">
        <v>78</v>
      </c>
      <c r="B5" s="59" t="s">
        <v>0</v>
      </c>
      <c r="C5" s="67" t="s">
        <v>1</v>
      </c>
      <c r="D5" s="67" t="s">
        <v>2</v>
      </c>
      <c r="E5" s="67" t="s">
        <v>3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8" s="72" customFormat="1" ht="197.25" customHeight="1" x14ac:dyDescent="0.25">
      <c r="A6" s="120" t="s">
        <v>79</v>
      </c>
      <c r="B6" s="121" t="s">
        <v>80</v>
      </c>
      <c r="C6" s="121" t="s">
        <v>81</v>
      </c>
      <c r="D6" s="121" t="s">
        <v>82</v>
      </c>
      <c r="E6" s="121" t="s">
        <v>83</v>
      </c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</row>
    <row r="7" spans="1:18" s="72" customFormat="1" ht="163.5" customHeight="1" x14ac:dyDescent="0.25">
      <c r="A7" s="120" t="s">
        <v>84</v>
      </c>
      <c r="B7" s="121" t="s">
        <v>85</v>
      </c>
      <c r="C7" s="121" t="s">
        <v>86</v>
      </c>
      <c r="D7" s="121" t="s">
        <v>87</v>
      </c>
      <c r="E7" s="121" t="s">
        <v>88</v>
      </c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</row>
    <row r="8" spans="1:18" s="72" customFormat="1" ht="163.5" customHeight="1" x14ac:dyDescent="0.25">
      <c r="A8" s="120" t="s">
        <v>89</v>
      </c>
      <c r="B8" s="121" t="s">
        <v>90</v>
      </c>
      <c r="C8" s="121" t="s">
        <v>91</v>
      </c>
      <c r="D8" s="121" t="s">
        <v>92</v>
      </c>
      <c r="E8" s="121" t="s">
        <v>93</v>
      </c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</row>
    <row r="9" spans="1:18" s="72" customFormat="1" ht="163.5" customHeight="1" x14ac:dyDescent="0.25">
      <c r="A9" s="120" t="s">
        <v>94</v>
      </c>
      <c r="B9" s="121" t="s">
        <v>95</v>
      </c>
      <c r="C9" s="121" t="s">
        <v>96</v>
      </c>
      <c r="D9" s="121" t="s">
        <v>97</v>
      </c>
      <c r="E9" s="121" t="s">
        <v>98</v>
      </c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</row>
    <row r="10" spans="1:18" s="72" customFormat="1" ht="129.75" customHeight="1" x14ac:dyDescent="0.25">
      <c r="A10" s="60"/>
      <c r="B10" s="61"/>
      <c r="C10" s="61"/>
      <c r="D10" s="61"/>
      <c r="E10" s="61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18" s="72" customFormat="1" ht="144.75" customHeight="1" x14ac:dyDescent="0.25">
      <c r="A11" s="60"/>
      <c r="B11" s="74"/>
      <c r="C11" s="74"/>
      <c r="D11" s="74"/>
      <c r="E11" s="74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</row>
    <row r="12" spans="1:18" x14ac:dyDescent="0.25">
      <c r="A12" s="64" t="s">
        <v>37</v>
      </c>
      <c r="B12" s="64" t="s">
        <v>37</v>
      </c>
      <c r="C12" s="64" t="s">
        <v>37</v>
      </c>
      <c r="D12" s="64" t="s">
        <v>37</v>
      </c>
      <c r="E12" s="64" t="s">
        <v>37</v>
      </c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</row>
    <row r="13" spans="1:18" x14ac:dyDescent="0.25">
      <c r="A13" s="65"/>
      <c r="B13" s="66"/>
      <c r="C13" s="66"/>
      <c r="D13" s="66"/>
      <c r="E13" s="66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R995"/>
  <sheetViews>
    <sheetView zoomScale="70" zoomScaleNormal="7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E8"/>
    </sheetView>
  </sheetViews>
  <sheetFormatPr baseColWidth="10" defaultColWidth="14.42578125" defaultRowHeight="15" customHeight="1" x14ac:dyDescent="0.25"/>
  <cols>
    <col min="1" max="1" width="43.85546875" style="56" customWidth="1"/>
    <col min="2" max="4" width="26.85546875" style="56" customWidth="1"/>
    <col min="5" max="5" width="33.85546875" style="56" customWidth="1"/>
    <col min="6" max="18" width="15.140625" style="56" customWidth="1"/>
    <col min="19" max="16384" width="14.42578125" style="56"/>
  </cols>
  <sheetData>
    <row r="1" spans="1:18" ht="15" customHeight="1" x14ac:dyDescent="0.25">
      <c r="A1" s="124" t="s">
        <v>99</v>
      </c>
      <c r="B1" s="125"/>
      <c r="C1" s="125"/>
      <c r="D1" s="125"/>
      <c r="E1" s="126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18" ht="35.25" customHeight="1" x14ac:dyDescent="0.25">
      <c r="A2" s="127"/>
      <c r="B2" s="128"/>
      <c r="C2" s="128"/>
      <c r="D2" s="128"/>
      <c r="E2" s="129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8" ht="15" customHeight="1" x14ac:dyDescent="0.25">
      <c r="A3" s="130"/>
      <c r="B3" s="131"/>
      <c r="C3" s="131"/>
      <c r="D3" s="131"/>
      <c r="E3" s="132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ht="34.5" customHeight="1" x14ac:dyDescent="0.25">
      <c r="A4" s="57"/>
      <c r="B4" s="57"/>
      <c r="C4" s="57"/>
      <c r="D4" s="57"/>
      <c r="E4" s="57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ht="84.75" customHeight="1" x14ac:dyDescent="0.25">
      <c r="A5" s="58" t="s">
        <v>100</v>
      </c>
      <c r="B5" s="59" t="s">
        <v>0</v>
      </c>
      <c r="C5" s="67" t="s">
        <v>1</v>
      </c>
      <c r="D5" s="67" t="s">
        <v>2</v>
      </c>
      <c r="E5" s="67" t="s">
        <v>3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8" ht="126.75" customHeight="1" x14ac:dyDescent="0.25">
      <c r="A6" s="111" t="s">
        <v>101</v>
      </c>
      <c r="B6" s="110" t="s">
        <v>102</v>
      </c>
      <c r="C6" s="110" t="s">
        <v>103</v>
      </c>
      <c r="D6" s="110" t="s">
        <v>104</v>
      </c>
      <c r="E6" s="110" t="s">
        <v>105</v>
      </c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</row>
    <row r="7" spans="1:18" ht="189" customHeight="1" x14ac:dyDescent="0.25">
      <c r="A7" s="111" t="s">
        <v>106</v>
      </c>
      <c r="B7" s="110" t="s">
        <v>107</v>
      </c>
      <c r="C7" s="110" t="s">
        <v>108</v>
      </c>
      <c r="D7" s="110" t="s">
        <v>109</v>
      </c>
      <c r="E7" s="110" t="s">
        <v>110</v>
      </c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</row>
    <row r="8" spans="1:18" ht="121.5" customHeight="1" x14ac:dyDescent="0.25">
      <c r="A8" s="111" t="s">
        <v>89</v>
      </c>
      <c r="B8" s="110" t="s">
        <v>111</v>
      </c>
      <c r="C8" s="110" t="s">
        <v>112</v>
      </c>
      <c r="D8" s="110" t="s">
        <v>92</v>
      </c>
      <c r="E8" s="110" t="s">
        <v>93</v>
      </c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</row>
    <row r="9" spans="1:18" ht="121.5" customHeight="1" x14ac:dyDescent="0.25">
      <c r="A9" s="75"/>
      <c r="B9" s="122"/>
      <c r="C9" s="122"/>
      <c r="D9" s="122"/>
      <c r="E9" s="12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</row>
    <row r="10" spans="1:18" ht="121.5" customHeight="1" x14ac:dyDescent="0.25">
      <c r="A10" s="75"/>
      <c r="B10" s="122"/>
      <c r="C10" s="122"/>
      <c r="D10" s="122"/>
      <c r="E10" s="12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</row>
    <row r="11" spans="1:18" ht="188.25" customHeight="1" x14ac:dyDescent="0.25">
      <c r="A11" s="75"/>
      <c r="B11" s="122"/>
      <c r="C11" s="122"/>
      <c r="D11" s="122"/>
      <c r="E11" s="12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</row>
    <row r="12" spans="1:18" x14ac:dyDescent="0.25">
      <c r="A12" s="64" t="s">
        <v>37</v>
      </c>
      <c r="B12" s="64" t="s">
        <v>37</v>
      </c>
      <c r="C12" s="64" t="s">
        <v>37</v>
      </c>
      <c r="D12" s="64" t="s">
        <v>37</v>
      </c>
      <c r="E12" s="64" t="s">
        <v>37</v>
      </c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</row>
    <row r="13" spans="1:18" x14ac:dyDescent="0.25">
      <c r="A13" s="65"/>
      <c r="B13" s="66"/>
      <c r="C13" s="66"/>
      <c r="D13" s="66"/>
      <c r="E13" s="66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1:18" x14ac:dyDescent="0.25">
      <c r="A14" s="55"/>
    </row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A1:R950"/>
  <sheetViews>
    <sheetView zoomScale="80" zoomScaleNormal="80" workbookViewId="0">
      <pane xSplit="1" ySplit="5" topLeftCell="B6" activePane="bottomRight" state="frozen"/>
      <selection pane="topRight" activeCell="B6" sqref="B6"/>
      <selection pane="bottomLeft" activeCell="B6" sqref="B6"/>
      <selection pane="bottomRight" sqref="A1:E3"/>
    </sheetView>
  </sheetViews>
  <sheetFormatPr baseColWidth="10" defaultColWidth="14.42578125" defaultRowHeight="15" customHeight="1" x14ac:dyDescent="0.25"/>
  <cols>
    <col min="1" max="1" width="43.85546875" style="56" customWidth="1"/>
    <col min="2" max="5" width="26.85546875" style="56" customWidth="1"/>
    <col min="6" max="18" width="15.140625" style="56" customWidth="1"/>
    <col min="19" max="16384" width="14.42578125" style="56"/>
  </cols>
  <sheetData>
    <row r="1" spans="1:18" x14ac:dyDescent="0.25">
      <c r="A1" s="124"/>
      <c r="B1" s="125"/>
      <c r="C1" s="125"/>
      <c r="D1" s="125"/>
      <c r="E1" s="126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18" ht="37.5" customHeight="1" x14ac:dyDescent="0.25">
      <c r="A2" s="127"/>
      <c r="B2" s="128"/>
      <c r="C2" s="128"/>
      <c r="D2" s="128"/>
      <c r="E2" s="129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8" ht="21.75" customHeight="1" x14ac:dyDescent="0.25">
      <c r="A3" s="130"/>
      <c r="B3" s="131"/>
      <c r="C3" s="131"/>
      <c r="D3" s="131"/>
      <c r="E3" s="132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ht="33.75" customHeight="1" x14ac:dyDescent="0.25">
      <c r="A4" s="57"/>
      <c r="B4" s="57"/>
      <c r="C4" s="57"/>
      <c r="D4" s="57"/>
      <c r="E4" s="57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ht="100.5" customHeight="1" x14ac:dyDescent="0.25">
      <c r="A5" s="58" t="s">
        <v>113</v>
      </c>
      <c r="B5" s="68" t="s">
        <v>0</v>
      </c>
      <c r="C5" s="69" t="s">
        <v>1</v>
      </c>
      <c r="D5" s="69" t="s">
        <v>2</v>
      </c>
      <c r="E5" s="69" t="s">
        <v>3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8" s="72" customFormat="1" ht="133.5" customHeight="1" x14ac:dyDescent="0.25">
      <c r="A6" s="76"/>
      <c r="B6" s="122"/>
      <c r="C6" s="122"/>
      <c r="D6" s="122"/>
      <c r="E6" s="122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</row>
    <row r="7" spans="1:18" s="72" customFormat="1" ht="133.5" customHeight="1" x14ac:dyDescent="0.25">
      <c r="A7" s="76"/>
      <c r="B7" s="122"/>
      <c r="C7" s="122"/>
      <c r="D7" s="122"/>
      <c r="E7" s="122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</row>
    <row r="8" spans="1:18" s="72" customFormat="1" ht="133.5" customHeight="1" x14ac:dyDescent="0.25">
      <c r="A8" s="76"/>
      <c r="B8" s="122"/>
      <c r="C8" s="122"/>
      <c r="D8" s="122"/>
      <c r="E8" s="122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18" s="72" customFormat="1" ht="133.5" customHeight="1" x14ac:dyDescent="0.25">
      <c r="A9" s="76"/>
      <c r="B9" s="122"/>
      <c r="C9" s="122"/>
      <c r="D9" s="122"/>
      <c r="E9" s="122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</row>
    <row r="10" spans="1:18" s="72" customFormat="1" ht="133.5" customHeight="1" x14ac:dyDescent="0.25">
      <c r="A10" s="76"/>
      <c r="B10" s="122"/>
      <c r="C10" s="122"/>
      <c r="D10" s="122"/>
      <c r="E10" s="122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</row>
    <row r="11" spans="1:18" s="72" customFormat="1" ht="133.5" customHeight="1" x14ac:dyDescent="0.25">
      <c r="A11" s="76"/>
      <c r="B11" s="122"/>
      <c r="C11" s="122"/>
      <c r="D11" s="122"/>
      <c r="E11" s="122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</row>
    <row r="12" spans="1:18" x14ac:dyDescent="0.25">
      <c r="A12" s="64" t="s">
        <v>37</v>
      </c>
      <c r="B12" s="64" t="s">
        <v>37</v>
      </c>
      <c r="C12" s="64" t="s">
        <v>37</v>
      </c>
      <c r="D12" s="64" t="s">
        <v>37</v>
      </c>
      <c r="E12" s="64" t="s">
        <v>37</v>
      </c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</row>
    <row r="13" spans="1:18" x14ac:dyDescent="0.25">
      <c r="A13" s="65"/>
      <c r="B13" s="66"/>
      <c r="C13" s="66"/>
      <c r="D13" s="66"/>
      <c r="E13" s="66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A1:R929"/>
  <sheetViews>
    <sheetView zoomScale="80" zoomScaleNormal="80" workbookViewId="0">
      <pane xSplit="1" ySplit="5" topLeftCell="B6" activePane="bottomRight" state="frozen"/>
      <selection pane="topRight" activeCell="B6" sqref="B6"/>
      <selection pane="bottomLeft" activeCell="B6" sqref="B6"/>
      <selection pane="bottomRight" activeCell="A6" sqref="A6"/>
    </sheetView>
  </sheetViews>
  <sheetFormatPr baseColWidth="10" defaultColWidth="14.42578125" defaultRowHeight="15" customHeight="1" x14ac:dyDescent="0.25"/>
  <cols>
    <col min="1" max="1" width="43.85546875" style="56" customWidth="1"/>
    <col min="2" max="4" width="26.85546875" style="56" customWidth="1"/>
    <col min="5" max="5" width="27" style="56" customWidth="1"/>
    <col min="6" max="18" width="15.140625" style="56" customWidth="1"/>
    <col min="19" max="16384" width="14.42578125" style="56"/>
  </cols>
  <sheetData>
    <row r="1" spans="1:18" ht="15" customHeight="1" x14ac:dyDescent="0.25">
      <c r="A1" s="124"/>
      <c r="B1" s="125"/>
      <c r="C1" s="125"/>
      <c r="D1" s="125"/>
      <c r="E1" s="126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</row>
    <row r="2" spans="1:18" ht="15" customHeight="1" x14ac:dyDescent="0.25">
      <c r="A2" s="127"/>
      <c r="B2" s="128"/>
      <c r="C2" s="128"/>
      <c r="D2" s="128"/>
      <c r="E2" s="129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8" ht="15" customHeight="1" x14ac:dyDescent="0.25">
      <c r="A3" s="130"/>
      <c r="B3" s="131"/>
      <c r="C3" s="131"/>
      <c r="D3" s="131"/>
      <c r="E3" s="132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ht="18.75" customHeight="1" x14ac:dyDescent="0.25">
      <c r="A4" s="57"/>
      <c r="B4" s="57"/>
      <c r="C4" s="57"/>
      <c r="D4" s="57"/>
      <c r="E4" s="57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ht="97.5" customHeight="1" x14ac:dyDescent="0.25">
      <c r="A5" s="58" t="s">
        <v>114</v>
      </c>
      <c r="B5" s="59" t="s">
        <v>0</v>
      </c>
      <c r="C5" s="67" t="s">
        <v>1</v>
      </c>
      <c r="D5" s="67" t="s">
        <v>2</v>
      </c>
      <c r="E5" s="67" t="s">
        <v>3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8" s="72" customFormat="1" ht="142.5" customHeight="1" x14ac:dyDescent="0.25">
      <c r="A6" s="60"/>
      <c r="B6" s="61"/>
      <c r="C6" s="61"/>
      <c r="D6" s="61"/>
      <c r="E6" s="6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</row>
    <row r="7" spans="1:18" s="72" customFormat="1" ht="142.5" customHeight="1" x14ac:dyDescent="0.25">
      <c r="A7" s="60"/>
      <c r="B7" s="61"/>
      <c r="C7" s="61"/>
      <c r="D7" s="61"/>
      <c r="E7" s="6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</row>
    <row r="8" spans="1:18" s="72" customFormat="1" ht="142.5" customHeight="1" x14ac:dyDescent="0.25">
      <c r="A8" s="60"/>
      <c r="B8" s="61"/>
      <c r="C8" s="61"/>
      <c r="D8" s="61"/>
      <c r="E8" s="6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18" s="72" customFormat="1" ht="142.5" customHeight="1" x14ac:dyDescent="0.25">
      <c r="A9" s="60"/>
      <c r="B9" s="61"/>
      <c r="C9" s="61"/>
      <c r="D9" s="61"/>
      <c r="E9" s="6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</row>
    <row r="10" spans="1:18" s="72" customFormat="1" ht="157.5" customHeight="1" x14ac:dyDescent="0.25">
      <c r="A10" s="60"/>
      <c r="B10" s="61"/>
      <c r="C10" s="61"/>
      <c r="D10" s="61"/>
      <c r="E10" s="61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</row>
    <row r="11" spans="1:18" s="72" customFormat="1" ht="142.5" customHeight="1" x14ac:dyDescent="0.25">
      <c r="A11" s="60"/>
      <c r="B11" s="61"/>
      <c r="C11" s="61"/>
      <c r="D11" s="61"/>
      <c r="E11" s="6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</row>
    <row r="12" spans="1:18" x14ac:dyDescent="0.25">
      <c r="A12" s="64" t="s">
        <v>37</v>
      </c>
      <c r="B12" s="64" t="s">
        <v>37</v>
      </c>
      <c r="C12" s="64" t="s">
        <v>37</v>
      </c>
      <c r="D12" s="64" t="s">
        <v>37</v>
      </c>
      <c r="E12" s="64" t="s">
        <v>37</v>
      </c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</row>
    <row r="13" spans="1:18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1:18" ht="15.75" customHeight="1" x14ac:dyDescent="0.25"/>
    <row r="15" spans="1:18" ht="15.75" customHeight="1" x14ac:dyDescent="0.25"/>
    <row r="16" spans="1:18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5" tint="0.39997558519241921"/>
  </sheetPr>
  <dimension ref="B1:M87"/>
  <sheetViews>
    <sheetView showGridLines="0" zoomScale="70" zoomScaleNormal="70" zoomScaleSheetLayoutView="85" workbookViewId="0">
      <selection activeCell="E11" sqref="E11"/>
    </sheetView>
  </sheetViews>
  <sheetFormatPr baseColWidth="10" defaultColWidth="11.42578125" defaultRowHeight="15" x14ac:dyDescent="0.25"/>
  <cols>
    <col min="1" max="1" width="3.28515625" customWidth="1"/>
    <col min="2" max="2" width="15.5703125" customWidth="1"/>
    <col min="3" max="3" width="16.140625" customWidth="1"/>
    <col min="4" max="4" width="39.42578125" customWidth="1"/>
    <col min="5" max="10" width="26.7109375" customWidth="1"/>
    <col min="11" max="11" width="8.7109375" customWidth="1"/>
    <col min="12" max="12" width="9" customWidth="1"/>
  </cols>
  <sheetData>
    <row r="1" spans="2:13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3" ht="33" customHeight="1" x14ac:dyDescent="0.25">
      <c r="B2" s="178" t="str">
        <f>+'RUBRIC SO#'!A2&amp;":"&amp;" "&amp;'RUBRIC SO#'!B2</f>
        <v>RA1:  La capacidad de operar los procesos de importación y exportación de acuerdo a la normatividad vigente.</v>
      </c>
      <c r="C2" s="178"/>
      <c r="D2" s="178"/>
      <c r="E2" s="178"/>
      <c r="F2" s="178"/>
      <c r="G2" s="178"/>
      <c r="H2" s="178"/>
      <c r="I2" s="178"/>
      <c r="J2" s="178"/>
    </row>
    <row r="3" spans="2:13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3" ht="18.75" x14ac:dyDescent="0.25">
      <c r="B4" s="182" t="s">
        <v>116</v>
      </c>
      <c r="C4" s="182"/>
      <c r="D4" s="183" t="s">
        <v>117</v>
      </c>
      <c r="E4" s="184" t="s">
        <v>118</v>
      </c>
      <c r="J4" s="37"/>
      <c r="K4" s="37"/>
      <c r="L4" s="37"/>
      <c r="M4" s="37"/>
    </row>
    <row r="5" spans="2:13" ht="25.5" customHeight="1" x14ac:dyDescent="0.25">
      <c r="B5" s="185"/>
      <c r="C5" s="186"/>
      <c r="D5" s="187"/>
      <c r="E5" s="187"/>
      <c r="G5" s="112" t="s">
        <v>119</v>
      </c>
      <c r="H5" s="112"/>
      <c r="I5" s="112"/>
      <c r="J5" s="38"/>
      <c r="K5" s="39"/>
      <c r="L5" s="39"/>
      <c r="M5" s="39"/>
    </row>
    <row r="6" spans="2:13" ht="18.75" x14ac:dyDescent="0.25">
      <c r="B6" s="180"/>
      <c r="C6" s="181"/>
      <c r="D6" s="180"/>
      <c r="E6" s="180"/>
      <c r="G6" s="112" t="s">
        <v>120</v>
      </c>
      <c r="H6" s="112"/>
      <c r="I6" s="112"/>
      <c r="J6" s="38"/>
      <c r="K6" s="39"/>
      <c r="L6" s="38"/>
      <c r="M6" s="39"/>
    </row>
    <row r="7" spans="2:13" ht="18.75" x14ac:dyDescent="0.25">
      <c r="B7" s="188" t="s">
        <v>121</v>
      </c>
      <c r="C7" s="188"/>
      <c r="D7" s="185"/>
      <c r="E7" s="185"/>
      <c r="G7" s="113" t="s">
        <v>122</v>
      </c>
      <c r="H7" s="113"/>
      <c r="I7" s="113"/>
      <c r="J7" s="38"/>
      <c r="K7" s="39"/>
      <c r="L7" s="39"/>
      <c r="M7" s="39"/>
    </row>
    <row r="8" spans="2:13" ht="18.75" x14ac:dyDescent="0.25">
      <c r="B8" s="188" t="s">
        <v>123</v>
      </c>
      <c r="C8" s="188"/>
      <c r="D8" s="185"/>
      <c r="E8" s="185"/>
      <c r="G8" s="113" t="s">
        <v>124</v>
      </c>
      <c r="H8" s="113"/>
      <c r="I8" s="113"/>
      <c r="J8" s="38"/>
      <c r="K8" s="39"/>
      <c r="L8" s="39"/>
      <c r="M8" s="39"/>
    </row>
    <row r="9" spans="2:13" ht="11.25" customHeight="1" x14ac:dyDescent="0.25">
      <c r="B9" s="14"/>
      <c r="C9" s="14"/>
      <c r="D9" s="8"/>
      <c r="E9" s="8"/>
      <c r="F9" s="13"/>
      <c r="G9" s="13"/>
      <c r="H9" s="13"/>
      <c r="I9" s="13"/>
      <c r="J9" s="16"/>
    </row>
    <row r="10" spans="2:13" ht="15" customHeight="1" x14ac:dyDescent="0.25">
      <c r="B10" s="8"/>
      <c r="C10" s="9"/>
      <c r="D10" s="8"/>
      <c r="E10" s="134" t="s">
        <v>125</v>
      </c>
      <c r="F10" s="135"/>
      <c r="G10" s="135"/>
      <c r="H10" s="135"/>
      <c r="I10" s="135"/>
      <c r="J10" s="135"/>
    </row>
    <row r="11" spans="2:13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  <c r="K11" s="16"/>
    </row>
    <row r="12" spans="2:13" x14ac:dyDescent="0.25">
      <c r="B12" s="95"/>
      <c r="C12" s="95"/>
      <c r="D12" s="96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  <c r="K12" s="40">
        <v>4.9000000000000004</v>
      </c>
      <c r="L12" s="17"/>
      <c r="M12" s="17"/>
    </row>
    <row r="13" spans="2:13" x14ac:dyDescent="0.25">
      <c r="B13" s="95"/>
      <c r="C13" s="95"/>
      <c r="D13" s="96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  <c r="K13" s="40">
        <v>4.9000000000000004</v>
      </c>
      <c r="L13" s="17"/>
      <c r="M13" s="17"/>
    </row>
    <row r="14" spans="2:13" x14ac:dyDescent="0.25">
      <c r="B14" s="95"/>
      <c r="C14" s="95"/>
      <c r="D14" s="96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  <c r="K14" s="40">
        <v>4.8</v>
      </c>
      <c r="L14" s="17"/>
      <c r="M14" s="17"/>
    </row>
    <row r="15" spans="2:13" x14ac:dyDescent="0.25">
      <c r="B15" s="95"/>
      <c r="C15" s="95"/>
      <c r="D15" s="96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  <c r="K15" s="40">
        <v>4.3</v>
      </c>
      <c r="L15" s="17"/>
      <c r="M15" s="17"/>
    </row>
    <row r="16" spans="2:13" x14ac:dyDescent="0.25">
      <c r="B16" s="95"/>
      <c r="C16" s="95"/>
      <c r="D16" s="96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  <c r="K16" s="40">
        <v>4.9000000000000004</v>
      </c>
      <c r="L16" s="17"/>
      <c r="M16" s="17"/>
    </row>
    <row r="17" spans="2:13" x14ac:dyDescent="0.25">
      <c r="B17" s="95"/>
      <c r="C17" s="95"/>
      <c r="D17" s="96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  <c r="K17" s="40">
        <v>5</v>
      </c>
      <c r="L17" s="17"/>
      <c r="M17" s="17"/>
    </row>
    <row r="18" spans="2:13" x14ac:dyDescent="0.25">
      <c r="B18" s="95"/>
      <c r="C18" s="95"/>
      <c r="D18" s="96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  <c r="K18" s="40">
        <v>5</v>
      </c>
      <c r="L18" s="17"/>
      <c r="M18" s="17"/>
    </row>
    <row r="19" spans="2:13" x14ac:dyDescent="0.25">
      <c r="B19" s="95"/>
      <c r="C19" s="95"/>
      <c r="D19" s="96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  <c r="K19" s="40"/>
      <c r="L19" s="17"/>
      <c r="M19" s="17"/>
    </row>
    <row r="20" spans="2:13" x14ac:dyDescent="0.25">
      <c r="B20" s="95"/>
      <c r="C20" s="95"/>
      <c r="D20" s="96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  <c r="K20" s="40"/>
      <c r="L20" s="17"/>
      <c r="M20" s="17"/>
    </row>
    <row r="21" spans="2:13" x14ac:dyDescent="0.25">
      <c r="B21" s="95"/>
      <c r="C21" s="95"/>
      <c r="D21" s="96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  <c r="K21" s="40"/>
      <c r="L21" s="17"/>
      <c r="M21" s="17"/>
    </row>
    <row r="22" spans="2:13" x14ac:dyDescent="0.25">
      <c r="B22" s="95"/>
      <c r="C22" s="95"/>
      <c r="D22" s="96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  <c r="K22" s="40"/>
      <c r="L22" s="17"/>
      <c r="M22" s="17"/>
    </row>
    <row r="23" spans="2:13" x14ac:dyDescent="0.25">
      <c r="B23" s="95"/>
      <c r="C23" s="95"/>
      <c r="D23" s="96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  <c r="K23" s="40"/>
      <c r="L23" s="17"/>
      <c r="M23" s="17"/>
    </row>
    <row r="24" spans="2:13" x14ac:dyDescent="0.25">
      <c r="B24" s="95"/>
      <c r="C24" s="95"/>
      <c r="D24" s="96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  <c r="K24" s="40"/>
      <c r="L24" s="17"/>
      <c r="M24" s="17"/>
    </row>
    <row r="25" spans="2:13" x14ac:dyDescent="0.25">
      <c r="B25" s="95"/>
      <c r="C25" s="95"/>
      <c r="D25" s="96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  <c r="K25" s="40"/>
      <c r="L25" s="17"/>
      <c r="M25" s="17"/>
    </row>
    <row r="26" spans="2:13" x14ac:dyDescent="0.25">
      <c r="B26" s="95"/>
      <c r="C26" s="95"/>
      <c r="D26" s="96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  <c r="K26" s="40"/>
      <c r="L26" s="17"/>
      <c r="M26" s="17"/>
    </row>
    <row r="27" spans="2:13" x14ac:dyDescent="0.25">
      <c r="B27" s="95"/>
      <c r="C27" s="95"/>
      <c r="D27" s="96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  <c r="K27" s="40"/>
      <c r="L27" s="17"/>
      <c r="M27" s="17"/>
    </row>
    <row r="28" spans="2:13" x14ac:dyDescent="0.25">
      <c r="B28" s="95"/>
      <c r="C28" s="95"/>
      <c r="D28" s="96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  <c r="K28" s="40"/>
      <c r="L28" s="17"/>
      <c r="M28" s="17"/>
    </row>
    <row r="29" spans="2:13" x14ac:dyDescent="0.25">
      <c r="B29" s="95"/>
      <c r="C29" s="95"/>
      <c r="D29" s="96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  <c r="K29" s="40"/>
      <c r="L29" s="17"/>
      <c r="M29" s="17"/>
    </row>
    <row r="30" spans="2:13" x14ac:dyDescent="0.25">
      <c r="B30" s="95"/>
      <c r="C30" s="95"/>
      <c r="D30" s="96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  <c r="K30" s="40"/>
      <c r="L30" s="17"/>
      <c r="M30" s="17"/>
    </row>
    <row r="31" spans="2:13" x14ac:dyDescent="0.25">
      <c r="B31" s="95"/>
      <c r="C31" s="95"/>
      <c r="D31" s="96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  <c r="K31" s="40"/>
      <c r="L31" s="17"/>
      <c r="M31" s="17"/>
    </row>
    <row r="32" spans="2:13" x14ac:dyDescent="0.25">
      <c r="B32" s="95"/>
      <c r="C32" s="95"/>
      <c r="D32" s="96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  <c r="K32" s="40"/>
      <c r="L32" s="17"/>
      <c r="M32" s="17"/>
    </row>
    <row r="33" spans="2:13" x14ac:dyDescent="0.25">
      <c r="B33" s="95"/>
      <c r="C33" s="95"/>
      <c r="D33" s="96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  <c r="K33" s="40"/>
      <c r="L33" s="17"/>
      <c r="M33" s="17"/>
    </row>
    <row r="34" spans="2:13" x14ac:dyDescent="0.25">
      <c r="B34" s="95"/>
      <c r="C34" s="95"/>
      <c r="D34" s="96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  <c r="K34" s="40"/>
      <c r="L34" s="17"/>
      <c r="M34" s="17"/>
    </row>
    <row r="35" spans="2:13" x14ac:dyDescent="0.25">
      <c r="B35" s="95"/>
      <c r="C35" s="95"/>
      <c r="D35" s="96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  <c r="K35" s="40"/>
      <c r="L35" s="17"/>
      <c r="M35" s="17"/>
    </row>
    <row r="36" spans="2:13" x14ac:dyDescent="0.25">
      <c r="B36" s="95"/>
      <c r="C36" s="95"/>
      <c r="D36" s="96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  <c r="K36" s="40"/>
      <c r="L36" s="17"/>
      <c r="M36" s="17"/>
    </row>
    <row r="37" spans="2:13" x14ac:dyDescent="0.25">
      <c r="B37" s="95"/>
      <c r="C37" s="95"/>
      <c r="D37" s="96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  <c r="K37" s="40"/>
      <c r="L37" s="17"/>
      <c r="M37" s="17"/>
    </row>
    <row r="38" spans="2:13" x14ac:dyDescent="0.25">
      <c r="B38" s="95"/>
      <c r="C38" s="95"/>
      <c r="D38" s="96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  <c r="K38" s="40"/>
      <c r="L38" s="17"/>
      <c r="M38" s="17"/>
    </row>
    <row r="39" spans="2:13" x14ac:dyDescent="0.25">
      <c r="B39" s="95"/>
      <c r="C39" s="95"/>
      <c r="D39" s="96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  <c r="K39" s="40">
        <v>5</v>
      </c>
      <c r="L39" s="17"/>
      <c r="M39" s="17"/>
    </row>
    <row r="40" spans="2:13" x14ac:dyDescent="0.25">
      <c r="B40" s="95"/>
      <c r="C40" s="95"/>
      <c r="D40" s="96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  <c r="K40" s="40">
        <v>4.9000000000000004</v>
      </c>
      <c r="L40" s="17"/>
      <c r="M40" s="17"/>
    </row>
    <row r="41" spans="2:13" x14ac:dyDescent="0.25">
      <c r="B41" s="95"/>
      <c r="C41" s="95"/>
      <c r="D41" s="96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  <c r="K41" s="40">
        <v>4.3</v>
      </c>
      <c r="L41" s="17"/>
      <c r="M41" s="17"/>
    </row>
    <row r="42" spans="2:13" x14ac:dyDescent="0.25">
      <c r="B42" s="95"/>
      <c r="C42" s="95"/>
      <c r="D42" s="96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  <c r="K42" s="40">
        <v>4.9000000000000004</v>
      </c>
      <c r="L42" s="17"/>
      <c r="M42" s="17"/>
    </row>
    <row r="43" spans="2:13" x14ac:dyDescent="0.25">
      <c r="B43" s="95"/>
      <c r="C43" s="95"/>
      <c r="D43" s="96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  <c r="K43" s="40">
        <v>4.9000000000000004</v>
      </c>
      <c r="L43" s="17"/>
      <c r="M43" s="17"/>
    </row>
    <row r="44" spans="2:13" x14ac:dyDescent="0.25">
      <c r="B44" s="95"/>
      <c r="C44" s="95"/>
      <c r="D44" s="96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  <c r="K44" s="40">
        <v>4.9000000000000004</v>
      </c>
      <c r="L44" s="17"/>
      <c r="M44" s="17"/>
    </row>
    <row r="45" spans="2:13" x14ac:dyDescent="0.25">
      <c r="B45" s="95"/>
      <c r="C45" s="95"/>
      <c r="D45" s="96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  <c r="K45" s="40">
        <v>5</v>
      </c>
      <c r="L45" s="17"/>
      <c r="M45" s="17"/>
    </row>
    <row r="46" spans="2:13" x14ac:dyDescent="0.25">
      <c r="B46" s="95"/>
      <c r="C46" s="95"/>
      <c r="D46" s="96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  <c r="K46" s="40">
        <v>4.7</v>
      </c>
      <c r="L46" s="17"/>
      <c r="M46" s="17"/>
    </row>
    <row r="47" spans="2:13" x14ac:dyDescent="0.25">
      <c r="B47" s="95"/>
      <c r="C47" s="95"/>
      <c r="D47" s="96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  <c r="K47" s="40">
        <v>4.5</v>
      </c>
      <c r="L47" s="17"/>
      <c r="M47" s="17"/>
    </row>
    <row r="48" spans="2:13" x14ac:dyDescent="0.25">
      <c r="B48" s="95"/>
      <c r="C48" s="95"/>
      <c r="D48" s="96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  <c r="K48" s="40">
        <v>4.9000000000000004</v>
      </c>
      <c r="L48" s="17"/>
      <c r="M48" s="17"/>
    </row>
    <row r="49" spans="2:13" x14ac:dyDescent="0.25">
      <c r="B49" s="95"/>
      <c r="C49" s="95"/>
      <c r="D49" s="96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  <c r="K49" s="40">
        <v>5</v>
      </c>
      <c r="L49" s="17"/>
      <c r="M49" s="17"/>
    </row>
    <row r="50" spans="2:13" x14ac:dyDescent="0.25">
      <c r="B50" s="95"/>
      <c r="C50" s="95"/>
      <c r="D50" s="96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  <c r="K50" s="40">
        <v>4.5999999999999996</v>
      </c>
      <c r="L50" s="17"/>
      <c r="M50" s="17"/>
    </row>
    <row r="51" spans="2:13" x14ac:dyDescent="0.25">
      <c r="B51" s="95"/>
      <c r="C51" s="95"/>
      <c r="D51" s="96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  <c r="K51" s="40">
        <v>4.7</v>
      </c>
      <c r="L51" s="17"/>
      <c r="M51" s="17"/>
    </row>
    <row r="53" spans="2:13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3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3" ht="15" customHeight="1" x14ac:dyDescent="0.25">
      <c r="E55" s="136" t="s">
        <v>130</v>
      </c>
      <c r="F55" s="137"/>
      <c r="G55" s="137"/>
      <c r="H55" s="137"/>
    </row>
    <row r="56" spans="2:13" x14ac:dyDescent="0.25">
      <c r="D56" s="53" t="s">
        <v>131</v>
      </c>
      <c r="E56" s="23" t="s">
        <v>132</v>
      </c>
      <c r="F56" s="24" t="s">
        <v>133</v>
      </c>
      <c r="G56" s="25" t="s">
        <v>134</v>
      </c>
      <c r="H56" s="26" t="s">
        <v>135</v>
      </c>
    </row>
    <row r="57" spans="2:13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3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3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3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3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3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9" spans="2:10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8.7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protectedRanges>
    <protectedRange algorithmName="SHA-512" hashValue="XJE1A95pR2nvdCEZvLPFlnww3Ipphg+fvDZEZhC/G82nkY5QoZhUTcOS8M/JQY2bnd6y56V4MAu63VYgWmDXOQ==" saltValue="XZH2HCh3HImkpbI7jxig1w==" spinCount="100000" sqref="B12:D51" name="Modificación Datos"/>
  </protectedRanges>
  <mergeCells count="12">
    <mergeCell ref="B1:J1"/>
    <mergeCell ref="B2:J2"/>
    <mergeCell ref="B4:C4"/>
    <mergeCell ref="B5:C5"/>
    <mergeCell ref="B7:C7"/>
    <mergeCell ref="D7:E7"/>
    <mergeCell ref="B8:C8"/>
    <mergeCell ref="D8:E8"/>
    <mergeCell ref="B53:J53"/>
    <mergeCell ref="B79:J79"/>
    <mergeCell ref="E10:J10"/>
    <mergeCell ref="E55:H55"/>
  </mergeCells>
  <conditionalFormatting sqref="E57:H59 E62:H62">
    <cfRule type="containsErrors" dxfId="306" priority="40" stopIfTrue="1">
      <formula>ISERROR(E57)</formula>
    </cfRule>
  </conditionalFormatting>
  <conditionalFormatting sqref="I57:I62">
    <cfRule type="containsErrors" dxfId="305" priority="25" stopIfTrue="1">
      <formula>ISERROR(I57)</formula>
    </cfRule>
  </conditionalFormatting>
  <conditionalFormatting sqref="E61:H61">
    <cfRule type="containsErrors" dxfId="304" priority="1" stopIfTrue="1">
      <formula>ISERROR(E61)</formula>
    </cfRule>
  </conditionalFormatting>
  <conditionalFormatting sqref="E60:H60">
    <cfRule type="containsErrors" dxfId="303" priority="2" stopIfTrue="1">
      <formula>ISERROR(E60)</formula>
    </cfRule>
  </conditionalFormatting>
  <dataValidations count="1">
    <dataValidation type="list" allowBlank="1" showInputMessage="1" showErrorMessage="1" sqref="E12:J51" xr:uid="{00000000-0002-0000-0800-000000000000}">
      <formula1>$G$5:$G$8</formula1>
    </dataValidation>
  </dataValidations>
  <pageMargins left="0.7" right="0.7" top="0.75" bottom="0.75" header="0.3" footer="0.3"/>
  <pageSetup paperSize="9" scale="46" orientation="portrait" r:id="rId1"/>
  <ignoredErrors>
    <ignoredError sqref="E60:H60" evalError="1"/>
  </ignoredErrors>
  <drawing r:id="rId2"/>
  <legacyDrawing r:id="rId3"/>
  <controls>
    <mc:AlternateContent xmlns:mc="http://schemas.openxmlformats.org/markup-compatibility/2006">
      <mc:Choice Requires="x14">
        <control shapeId="1025" r:id="rId4" name="Pegar_Información_General">
          <controlPr defaultSize="0" autoLine="0" r:id="rId5">
            <anchor moveWithCells="1">
              <from>
                <xdr:col>10</xdr:col>
                <xdr:colOff>257175</xdr:colOff>
                <xdr:row>0</xdr:row>
                <xdr:rowOff>57150</xdr:rowOff>
              </from>
              <to>
                <xdr:col>13</xdr:col>
                <xdr:colOff>276225</xdr:colOff>
                <xdr:row>1</xdr:row>
                <xdr:rowOff>361950</xdr:rowOff>
              </to>
            </anchor>
          </controlPr>
        </control>
      </mc:Choice>
      <mc:Fallback>
        <control shapeId="1025" r:id="rId4" name="Pegar_Información_General"/>
      </mc:Fallback>
    </mc:AlternateContent>
    <mc:AlternateContent xmlns:mc="http://schemas.openxmlformats.org/markup-compatibility/2006">
      <mc:Choice Requires="x14">
        <control shapeId="1026" r:id="rId6" name="Pegar_Calificaciones">
          <controlPr defaultSize="0" autoLine="0" r:id="rId7">
            <anchor moveWithCells="1">
              <from>
                <xdr:col>10</xdr:col>
                <xdr:colOff>257175</xdr:colOff>
                <xdr:row>1</xdr:row>
                <xdr:rowOff>409575</xdr:rowOff>
              </from>
              <to>
                <xdr:col>13</xdr:col>
                <xdr:colOff>276225</xdr:colOff>
                <xdr:row>4</xdr:row>
                <xdr:rowOff>180975</xdr:rowOff>
              </to>
            </anchor>
          </controlPr>
        </control>
      </mc:Choice>
      <mc:Fallback>
        <control shapeId="1026" r:id="rId6" name="Pegar_Calificaciones"/>
      </mc:Fallback>
    </mc:AlternateContent>
    <mc:AlternateContent xmlns:mc="http://schemas.openxmlformats.org/markup-compatibility/2006">
      <mc:Choice Requires="x14">
        <control shapeId="1027" r:id="rId8" name="Pegar_Análisis">
          <controlPr defaultSize="0" autoLine="0" r:id="rId9">
            <anchor moveWithCells="1">
              <from>
                <xdr:col>10</xdr:col>
                <xdr:colOff>266700</xdr:colOff>
                <xdr:row>4</xdr:row>
                <xdr:rowOff>266700</xdr:rowOff>
              </from>
              <to>
                <xdr:col>13</xdr:col>
                <xdr:colOff>285750</xdr:colOff>
                <xdr:row>6</xdr:row>
                <xdr:rowOff>200025</xdr:rowOff>
              </to>
            </anchor>
          </controlPr>
        </control>
      </mc:Choice>
      <mc:Fallback>
        <control shapeId="1027" r:id="rId8" name="Pegar_Análisis"/>
      </mc:Fallback>
    </mc:AlternateContent>
    <mc:AlternateContent xmlns:mc="http://schemas.openxmlformats.org/markup-compatibility/2006">
      <mc:Choice Requires="x14">
        <control shapeId="1028" r:id="rId10" name="Next_Group">
          <controlPr defaultSize="0" autoLine="0" r:id="rId11">
            <anchor moveWithCells="1">
              <from>
                <xdr:col>10</xdr:col>
                <xdr:colOff>266700</xdr:colOff>
                <xdr:row>7</xdr:row>
                <xdr:rowOff>104775</xdr:rowOff>
              </from>
              <to>
                <xdr:col>13</xdr:col>
                <xdr:colOff>285750</xdr:colOff>
                <xdr:row>10</xdr:row>
                <xdr:rowOff>38100</xdr:rowOff>
              </to>
            </anchor>
          </controlPr>
        </control>
      </mc:Choice>
      <mc:Fallback>
        <control shapeId="1028" r:id="rId10" name="Next_Group"/>
      </mc:Fallback>
    </mc:AlternateContent>
    <mc:AlternateContent xmlns:mc="http://schemas.openxmlformats.org/markup-compatibility/2006">
      <mc:Choice Requires="x14">
        <control shapeId="1029" r:id="rId12" name="Finalizar_Registros">
          <controlPr defaultSize="0" autoLine="0" r:id="rId13">
            <anchor moveWithCells="1">
              <from>
                <xdr:col>10</xdr:col>
                <xdr:colOff>266700</xdr:colOff>
                <xdr:row>10</xdr:row>
                <xdr:rowOff>123825</xdr:rowOff>
              </from>
              <to>
                <xdr:col>13</xdr:col>
                <xdr:colOff>285750</xdr:colOff>
                <xdr:row>10</xdr:row>
                <xdr:rowOff>628650</xdr:rowOff>
              </to>
            </anchor>
          </controlPr>
        </control>
      </mc:Choice>
      <mc:Fallback>
        <control shapeId="1029" r:id="rId12" name="Finalizar_Registro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5" tint="0.39997558519241921"/>
  </sheetPr>
  <dimension ref="B1:M87"/>
  <sheetViews>
    <sheetView showGridLines="0" zoomScale="70" zoomScaleNormal="70" workbookViewId="0">
      <selection activeCell="B2" sqref="B2:J2"/>
    </sheetView>
  </sheetViews>
  <sheetFormatPr baseColWidth="10" defaultColWidth="11.42578125" defaultRowHeight="15" x14ac:dyDescent="0.25"/>
  <cols>
    <col min="1" max="1" width="3.28515625" customWidth="1"/>
    <col min="2" max="2" width="15.5703125" customWidth="1"/>
    <col min="3" max="3" width="16.140625" customWidth="1"/>
    <col min="4" max="4" width="39.42578125" customWidth="1"/>
    <col min="5" max="10" width="26.7109375" customWidth="1"/>
    <col min="11" max="11" width="12.42578125" customWidth="1"/>
  </cols>
  <sheetData>
    <row r="1" spans="2:13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3" ht="33" customHeight="1" x14ac:dyDescent="0.25">
      <c r="B2" s="178" t="str">
        <f>+'RUBRIC SO#'!A2&amp;":"&amp;" "&amp;'RUBRIC SO#'!B2</f>
        <v>RA1:  La capacidad de operar los procesos de importación y exportación de acuerdo a la normatividad vigente.</v>
      </c>
      <c r="C2" s="178"/>
      <c r="D2" s="178"/>
      <c r="E2" s="178"/>
      <c r="F2" s="178"/>
      <c r="G2" s="178"/>
      <c r="H2" s="178"/>
      <c r="I2" s="178"/>
      <c r="J2" s="178"/>
    </row>
    <row r="3" spans="2:13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3" x14ac:dyDescent="0.25">
      <c r="B4" s="214" t="s">
        <v>116</v>
      </c>
      <c r="C4" s="214"/>
      <c r="D4" s="219" t="s">
        <v>117</v>
      </c>
      <c r="E4" s="220" t="s">
        <v>118</v>
      </c>
      <c r="F4" s="13"/>
      <c r="G4" s="22"/>
      <c r="H4" s="22"/>
      <c r="I4" s="22"/>
      <c r="J4" s="22"/>
    </row>
    <row r="5" spans="2:13" ht="28.5" customHeight="1" x14ac:dyDescent="0.25">
      <c r="B5" s="191"/>
      <c r="C5" s="198"/>
      <c r="D5" s="199"/>
      <c r="E5" s="199"/>
      <c r="F5" s="13"/>
      <c r="G5" s="112" t="s">
        <v>119</v>
      </c>
      <c r="H5" s="112"/>
      <c r="I5" s="112"/>
      <c r="J5" s="22"/>
    </row>
    <row r="6" spans="2:13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3" ht="15" customHeight="1" x14ac:dyDescent="0.25">
      <c r="B7" s="214" t="s">
        <v>121</v>
      </c>
      <c r="C7" s="214"/>
      <c r="D7" s="191"/>
      <c r="E7" s="191"/>
      <c r="F7" s="13"/>
      <c r="G7" s="113" t="s">
        <v>122</v>
      </c>
      <c r="H7" s="113"/>
      <c r="I7" s="113"/>
      <c r="J7" s="13"/>
    </row>
    <row r="8" spans="2:13" ht="15" customHeight="1" x14ac:dyDescent="0.25">
      <c r="B8" s="214" t="s">
        <v>123</v>
      </c>
      <c r="C8" s="214"/>
      <c r="D8" s="191"/>
      <c r="E8" s="191"/>
      <c r="F8" s="13"/>
      <c r="G8" s="113" t="s">
        <v>124</v>
      </c>
      <c r="H8" s="113"/>
      <c r="I8" s="113"/>
      <c r="J8" s="16"/>
    </row>
    <row r="9" spans="2:13" ht="11.25" customHeight="1" x14ac:dyDescent="0.25">
      <c r="B9" s="14"/>
      <c r="C9" s="14"/>
      <c r="D9" s="8"/>
      <c r="E9" s="8"/>
      <c r="F9" s="13"/>
      <c r="G9" s="13"/>
      <c r="H9" s="13"/>
      <c r="I9" s="13"/>
      <c r="J9" s="16"/>
    </row>
    <row r="10" spans="2:13" ht="15" customHeight="1" x14ac:dyDescent="0.25">
      <c r="B10" s="8"/>
      <c r="C10" s="9"/>
      <c r="D10" s="8"/>
      <c r="E10" s="134" t="s">
        <v>125</v>
      </c>
      <c r="F10" s="135"/>
      <c r="G10" s="135"/>
      <c r="H10" s="135"/>
      <c r="I10" s="135"/>
      <c r="J10" s="135"/>
    </row>
    <row r="11" spans="2:13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  <c r="K11" s="16"/>
    </row>
    <row r="12" spans="2:13" ht="14.25" customHeight="1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  <c r="K12" s="17"/>
      <c r="L12" s="17"/>
      <c r="M12" s="17"/>
    </row>
    <row r="13" spans="2:13" ht="14.25" customHeight="1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  <c r="K13" s="17"/>
      <c r="L13" s="17"/>
      <c r="M13" s="17"/>
    </row>
    <row r="14" spans="2:13" ht="14.25" customHeight="1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  <c r="K14" s="17"/>
      <c r="L14" s="17"/>
      <c r="M14" s="17"/>
    </row>
    <row r="15" spans="2:13" ht="14.25" customHeight="1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  <c r="K15" s="17"/>
      <c r="L15" s="17"/>
      <c r="M15" s="17"/>
    </row>
    <row r="16" spans="2:13" ht="14.25" customHeight="1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  <c r="K16" s="17"/>
      <c r="L16" s="17"/>
      <c r="M16" s="17"/>
    </row>
    <row r="17" spans="2:13" ht="14.25" customHeight="1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  <c r="K17" s="17"/>
      <c r="L17" s="17"/>
      <c r="M17" s="17"/>
    </row>
    <row r="18" spans="2:13" ht="14.25" customHeight="1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  <c r="K18" s="17"/>
      <c r="L18" s="17"/>
      <c r="M18" s="17"/>
    </row>
    <row r="19" spans="2:13" ht="14.25" customHeight="1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  <c r="K19" s="17"/>
      <c r="L19" s="17"/>
      <c r="M19" s="17"/>
    </row>
    <row r="20" spans="2:13" ht="14.25" customHeight="1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  <c r="K20" s="17"/>
      <c r="L20" s="17"/>
      <c r="M20" s="17"/>
    </row>
    <row r="21" spans="2:13" ht="14.25" customHeight="1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  <c r="K21" s="17"/>
      <c r="L21" s="17"/>
      <c r="M21" s="17"/>
    </row>
    <row r="22" spans="2:13" ht="14.25" customHeight="1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  <c r="K22" s="17"/>
      <c r="L22" s="17"/>
      <c r="M22" s="17"/>
    </row>
    <row r="23" spans="2:13" ht="14.25" customHeight="1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  <c r="K23" s="17"/>
      <c r="L23" s="17"/>
      <c r="M23" s="17"/>
    </row>
    <row r="24" spans="2:13" ht="14.25" customHeight="1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  <c r="K24" s="17"/>
      <c r="L24" s="17"/>
      <c r="M24" s="17"/>
    </row>
    <row r="25" spans="2:13" ht="14.25" customHeight="1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  <c r="K25" s="17"/>
      <c r="L25" s="17"/>
      <c r="M25" s="17"/>
    </row>
    <row r="26" spans="2:13" ht="14.25" customHeight="1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  <c r="K26" s="17"/>
      <c r="L26" s="17"/>
      <c r="M26" s="17"/>
    </row>
    <row r="27" spans="2:13" ht="14.25" customHeight="1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  <c r="K27" s="17"/>
      <c r="L27" s="17"/>
      <c r="M27" s="17"/>
    </row>
    <row r="28" spans="2:13" ht="14.25" customHeight="1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  <c r="K28" s="17"/>
      <c r="L28" s="17"/>
      <c r="M28" s="17"/>
    </row>
    <row r="29" spans="2:13" ht="14.25" customHeight="1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  <c r="K29" s="17"/>
      <c r="L29" s="17"/>
      <c r="M29" s="17"/>
    </row>
    <row r="30" spans="2:13" ht="14.25" customHeight="1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  <c r="K30" s="17"/>
      <c r="L30" s="17"/>
      <c r="M30" s="17"/>
    </row>
    <row r="31" spans="2:13" ht="14.25" customHeight="1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  <c r="K31" s="17"/>
      <c r="L31" s="17"/>
      <c r="M31" s="17"/>
    </row>
    <row r="32" spans="2:13" ht="14.25" customHeight="1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  <c r="K32" s="17"/>
      <c r="L32" s="17"/>
      <c r="M32" s="17"/>
    </row>
    <row r="33" spans="2:13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  <c r="K33" s="17"/>
      <c r="L33" s="17"/>
      <c r="M33" s="17"/>
    </row>
    <row r="34" spans="2:13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  <c r="K34" s="17"/>
      <c r="L34" s="17"/>
      <c r="M34" s="17"/>
    </row>
    <row r="35" spans="2:13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  <c r="K35" s="17"/>
      <c r="L35" s="17"/>
      <c r="M35" s="17"/>
    </row>
    <row r="36" spans="2:13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  <c r="K36" s="17"/>
      <c r="L36" s="17"/>
      <c r="M36" s="17"/>
    </row>
    <row r="37" spans="2:13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  <c r="K37" s="17"/>
      <c r="L37" s="17"/>
      <c r="M37" s="17"/>
    </row>
    <row r="38" spans="2:13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  <c r="K38" s="17"/>
      <c r="L38" s="17"/>
      <c r="M38" s="17"/>
    </row>
    <row r="39" spans="2:13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  <c r="K39" s="17"/>
      <c r="L39" s="17"/>
      <c r="M39" s="17"/>
    </row>
    <row r="40" spans="2:13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  <c r="K40" s="17"/>
      <c r="L40" s="17"/>
      <c r="M40" s="17"/>
    </row>
    <row r="41" spans="2:13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  <c r="K41" s="17"/>
      <c r="L41" s="17"/>
      <c r="M41" s="17"/>
    </row>
    <row r="42" spans="2:13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  <c r="K42" s="17"/>
      <c r="L42" s="17"/>
      <c r="M42" s="17"/>
    </row>
    <row r="43" spans="2:13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  <c r="K43" s="17"/>
      <c r="L43" s="17"/>
      <c r="M43" s="17"/>
    </row>
    <row r="44" spans="2:13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  <c r="K44" s="17"/>
      <c r="L44" s="17"/>
      <c r="M44" s="17"/>
    </row>
    <row r="45" spans="2:13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  <c r="K45" s="17"/>
      <c r="L45" s="17"/>
      <c r="M45" s="17"/>
    </row>
    <row r="46" spans="2:13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  <c r="K46" s="17"/>
      <c r="L46" s="17"/>
      <c r="M46" s="17"/>
    </row>
    <row r="47" spans="2:13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  <c r="K47" s="17"/>
      <c r="L47" s="17"/>
      <c r="M47" s="17"/>
    </row>
    <row r="48" spans="2:13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  <c r="K48" s="17"/>
      <c r="L48" s="17"/>
      <c r="M48" s="17"/>
    </row>
    <row r="49" spans="2:13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  <c r="K49" s="17"/>
      <c r="L49" s="17"/>
      <c r="M49" s="17"/>
    </row>
    <row r="50" spans="2:13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  <c r="K50" s="17"/>
      <c r="L50" s="17"/>
      <c r="M50" s="17"/>
    </row>
    <row r="51" spans="2:13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3" x14ac:dyDescent="0.25">
      <c r="B52" s="87"/>
      <c r="C52" s="87"/>
      <c r="D52" s="10"/>
      <c r="E52" s="88"/>
      <c r="F52" s="88"/>
      <c r="G52" s="88"/>
      <c r="H52" s="88"/>
      <c r="I52" s="88"/>
      <c r="J52" s="88"/>
    </row>
    <row r="53" spans="2:13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3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3" ht="15" customHeight="1" x14ac:dyDescent="0.25">
      <c r="E55" s="136" t="s">
        <v>130</v>
      </c>
      <c r="F55" s="137"/>
      <c r="G55" s="137"/>
      <c r="H55" s="141"/>
    </row>
    <row r="56" spans="2:13" x14ac:dyDescent="0.25">
      <c r="D56" s="53" t="s">
        <v>131</v>
      </c>
      <c r="E56" s="23" t="s">
        <v>132</v>
      </c>
      <c r="F56" s="24" t="s">
        <v>133</v>
      </c>
      <c r="G56" s="25" t="s">
        <v>134</v>
      </c>
      <c r="H56" s="26" t="s">
        <v>135</v>
      </c>
    </row>
    <row r="57" spans="2:13" ht="15" customHeight="1" x14ac:dyDescent="0.25">
      <c r="B57" s="15" t="s">
        <v>136</v>
      </c>
      <c r="C57" s="15"/>
      <c r="D57" s="6" t="s">
        <v>137</v>
      </c>
      <c r="E57" s="18">
        <f>(COUNTIF($E$12:$E$50,"Poor"))/(COUNTA($E$12:$E$50))</f>
        <v>0</v>
      </c>
      <c r="F57" s="18">
        <f>(COUNTIF($E$12:$E$50,"Inadequate"))/(COUNTA($E$12:$E$50))</f>
        <v>0</v>
      </c>
      <c r="G57" s="18">
        <f>(COUNTIF($E$12:$E$50,"Adequate"))/(COUNTA($E$12:$E$50))</f>
        <v>0</v>
      </c>
      <c r="H57" s="18">
        <f>(COUNTIF($E$12:$E$50,"Exemplary"))/(COUNTA($E$12:$E$50))</f>
        <v>0</v>
      </c>
      <c r="I57" s="107">
        <f t="shared" ref="I57:I62" si="0">SUM(E57:H57)</f>
        <v>0</v>
      </c>
    </row>
    <row r="58" spans="2:13" ht="15" customHeight="1" x14ac:dyDescent="0.25">
      <c r="B58" s="15"/>
      <c r="C58" s="15"/>
      <c r="D58" s="6" t="s">
        <v>138</v>
      </c>
      <c r="E58" s="18">
        <f>(COUNTIF($F$12:$F$50,"Poor"))/(COUNTA($F$12:$F$50))</f>
        <v>0</v>
      </c>
      <c r="F58" s="18">
        <f>(COUNTIF($F$12:$F$50,"Inadequate"))/(COUNTA($F$12:$F$50))</f>
        <v>0</v>
      </c>
      <c r="G58" s="18">
        <f>(COUNTIF($F$12:$F$50,"Adequate"))/(COUNTA($F$12:$F$50))</f>
        <v>0</v>
      </c>
      <c r="H58" s="18">
        <f>(COUNTIF($F$12:$F$50,"Exemplary"))/(COUNTA($F$12:$F$50))</f>
        <v>0</v>
      </c>
      <c r="I58" s="107">
        <f t="shared" si="0"/>
        <v>0</v>
      </c>
    </row>
    <row r="59" spans="2:13" ht="15" customHeight="1" x14ac:dyDescent="0.25">
      <c r="B59" s="15"/>
      <c r="C59" s="15"/>
      <c r="D59" s="6" t="s">
        <v>139</v>
      </c>
      <c r="E59" s="18">
        <f>(COUNTIF($G$12:$G$50,"Poor"))/(COUNTA($G$12:$G$50))</f>
        <v>0</v>
      </c>
      <c r="F59" s="18">
        <f>(COUNTIF($G$12:$G$50,"Inadequate"))/(COUNTA($G$12:$G$50))</f>
        <v>0</v>
      </c>
      <c r="G59" s="18">
        <f>(COUNTIF($G$12:$G$50,"Adequate"))/(COUNTA($G$12:$G$50))</f>
        <v>0</v>
      </c>
      <c r="H59" s="18">
        <f>(COUNTIF($G$12:$G$50,"Exemplary"))/(COUNTA($G$12:$G$50))</f>
        <v>0</v>
      </c>
      <c r="I59" s="107">
        <f t="shared" si="0"/>
        <v>0</v>
      </c>
    </row>
    <row r="60" spans="2:13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3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3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9" spans="2:10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1:J1"/>
    <mergeCell ref="B2:J2"/>
    <mergeCell ref="B4:C4"/>
    <mergeCell ref="B5:C5"/>
    <mergeCell ref="B7:C7"/>
    <mergeCell ref="D7:E7"/>
    <mergeCell ref="B8:C8"/>
    <mergeCell ref="D8:E8"/>
    <mergeCell ref="B53:J53"/>
    <mergeCell ref="B79:J79"/>
    <mergeCell ref="E10:J10"/>
    <mergeCell ref="E55:H55"/>
  </mergeCells>
  <conditionalFormatting sqref="E57:H59">
    <cfRule type="containsErrors" dxfId="302" priority="121" stopIfTrue="1">
      <formula>ISERROR(E57)</formula>
    </cfRule>
  </conditionalFormatting>
  <conditionalFormatting sqref="I57:I59">
    <cfRule type="containsErrors" dxfId="301" priority="120" stopIfTrue="1">
      <formula>ISERROR(I57)</formula>
    </cfRule>
  </conditionalFormatting>
  <conditionalFormatting sqref="E52:J52">
    <cfRule type="cellIs" dxfId="300" priority="20" stopIfTrue="1" operator="equal">
      <formula>"Inadequate"</formula>
    </cfRule>
    <cfRule type="cellIs" dxfId="299" priority="21" stopIfTrue="1" operator="equal">
      <formula>"Adequate"</formula>
    </cfRule>
    <cfRule type="cellIs" dxfId="298" priority="22" stopIfTrue="1" operator="equal">
      <formula>"Exemplary"</formula>
    </cfRule>
    <cfRule type="cellIs" dxfId="297" priority="23" stopIfTrue="1" operator="equal">
      <formula>"Poor"</formula>
    </cfRule>
  </conditionalFormatting>
  <conditionalFormatting sqref="G52:I52">
    <cfRule type="cellIs" dxfId="296" priority="16" stopIfTrue="1" operator="equal">
      <formula>"Inadequate"</formula>
    </cfRule>
    <cfRule type="cellIs" dxfId="295" priority="17" stopIfTrue="1" operator="equal">
      <formula>"Adequate"</formula>
    </cfRule>
    <cfRule type="cellIs" dxfId="294" priority="18" stopIfTrue="1" operator="equal">
      <formula>"Exemplary"</formula>
    </cfRule>
    <cfRule type="cellIs" dxfId="293" priority="19" stopIfTrue="1" operator="equal">
      <formula>"Poor"</formula>
    </cfRule>
  </conditionalFormatting>
  <conditionalFormatting sqref="E52:F52 J52">
    <cfRule type="cellIs" dxfId="292" priority="24" stopIfTrue="1" operator="equal">
      <formula>"Inadequate"</formula>
    </cfRule>
    <cfRule type="cellIs" dxfId="291" priority="25" stopIfTrue="1" operator="equal">
      <formula>"Adequate"</formula>
    </cfRule>
    <cfRule type="cellIs" dxfId="290" priority="26" stopIfTrue="1" operator="equal">
      <formula>"Exemplary"</formula>
    </cfRule>
    <cfRule type="cellIs" dxfId="289" priority="27" stopIfTrue="1" operator="equal">
      <formula>"Poor"</formula>
    </cfRule>
  </conditionalFormatting>
  <conditionalFormatting sqref="E61:H61">
    <cfRule type="containsErrors" dxfId="288" priority="1" stopIfTrue="1">
      <formula>ISERROR(E61)</formula>
    </cfRule>
  </conditionalFormatting>
  <conditionalFormatting sqref="E62:H62">
    <cfRule type="containsErrors" dxfId="287" priority="4" stopIfTrue="1">
      <formula>ISERROR(E62)</formula>
    </cfRule>
  </conditionalFormatting>
  <conditionalFormatting sqref="I60:I62">
    <cfRule type="containsErrors" dxfId="286" priority="3" stopIfTrue="1">
      <formula>ISERROR(I60)</formula>
    </cfRule>
  </conditionalFormatting>
  <conditionalFormatting sqref="E60:H60">
    <cfRule type="containsErrors" dxfId="285" priority="2" stopIfTrue="1">
      <formula>ISERROR(E60)</formula>
    </cfRule>
  </conditionalFormatting>
  <dataValidations count="1">
    <dataValidation type="list" allowBlank="1" showInputMessage="1" showErrorMessage="1" sqref="E12:J52" xr:uid="{00000000-0002-0000-0900-000000000000}">
      <formula1>$G$5:$G$8</formula1>
    </dataValidation>
  </dataValidations>
  <pageMargins left="0.7" right="0.7" top="0.75" bottom="0.75" header="0.3" footer="0.3"/>
  <pageSetup paperSize="9" scale="45" orientation="portrait" r:id="rId1"/>
  <ignoredErrors>
    <ignoredError sqref="I57:I59" evalError="1"/>
  </ignoredErrors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10</xdr:col>
                <xdr:colOff>361950</xdr:colOff>
                <xdr:row>0</xdr:row>
                <xdr:rowOff>57150</xdr:rowOff>
              </from>
              <to>
                <xdr:col>12</xdr:col>
                <xdr:colOff>733425</xdr:colOff>
                <xdr:row>1</xdr:row>
                <xdr:rowOff>361950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10</xdr:col>
                <xdr:colOff>361950</xdr:colOff>
                <xdr:row>1</xdr:row>
                <xdr:rowOff>400050</xdr:rowOff>
              </from>
              <to>
                <xdr:col>12</xdr:col>
                <xdr:colOff>733425</xdr:colOff>
                <xdr:row>4</xdr:row>
                <xdr:rowOff>209550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10</xdr:col>
                <xdr:colOff>371475</xdr:colOff>
                <xdr:row>4</xdr:row>
                <xdr:rowOff>276225</xdr:rowOff>
              </from>
              <to>
                <xdr:col>12</xdr:col>
                <xdr:colOff>742950</xdr:colOff>
                <xdr:row>7</xdr:row>
                <xdr:rowOff>38100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2" r:id="rId10" name="CommandButton4">
          <controlPr defaultSize="0" autoLine="0" r:id="rId11">
            <anchor moveWithCells="1">
              <from>
                <xdr:col>10</xdr:col>
                <xdr:colOff>371475</xdr:colOff>
                <xdr:row>7</xdr:row>
                <xdr:rowOff>66675</xdr:rowOff>
              </from>
              <to>
                <xdr:col>12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2052" r:id="rId10" name="CommandButton4"/>
      </mc:Fallback>
    </mc:AlternateContent>
    <mc:AlternateContent xmlns:mc="http://schemas.openxmlformats.org/markup-compatibility/2006">
      <mc:Choice Requires="x14">
        <control shapeId="2053" r:id="rId12" name="CommandButton5">
          <controlPr defaultSize="0" autoLine="0" r:id="rId13">
            <anchor moveWithCells="1">
              <from>
                <xdr:col>10</xdr:col>
                <xdr:colOff>371475</xdr:colOff>
                <xdr:row>10</xdr:row>
                <xdr:rowOff>85725</xdr:rowOff>
              </from>
              <to>
                <xdr:col>12</xdr:col>
                <xdr:colOff>742950</xdr:colOff>
                <xdr:row>10</xdr:row>
                <xdr:rowOff>590550</xdr:rowOff>
              </to>
            </anchor>
          </controlPr>
        </control>
      </mc:Choice>
      <mc:Fallback>
        <control shapeId="2053" r:id="rId12" name="CommandButton5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5" tint="0.39997558519241921"/>
  </sheetPr>
  <dimension ref="B1:J87"/>
  <sheetViews>
    <sheetView showGridLines="0" zoomScale="70" zoomScaleNormal="70" workbookViewId="0">
      <selection activeCell="B5" sqref="B5:C5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8" t="str">
        <f>+'RUBRIC SO#'!A2&amp;":"&amp;" "&amp;'RUBRIC SO#'!B2</f>
        <v>RA1:  La capacidad de operar los procesos de importación y exportación de acuerdo a la normatividad vigente.</v>
      </c>
      <c r="C2" s="178"/>
      <c r="D2" s="178"/>
      <c r="E2" s="178"/>
      <c r="F2" s="178"/>
      <c r="G2" s="178"/>
      <c r="H2" s="178"/>
      <c r="I2" s="178"/>
      <c r="J2" s="178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214" t="s">
        <v>116</v>
      </c>
      <c r="C4" s="214"/>
      <c r="D4" s="219" t="s">
        <v>117</v>
      </c>
      <c r="E4" s="220" t="s">
        <v>118</v>
      </c>
      <c r="F4" s="13"/>
      <c r="G4" s="114"/>
      <c r="H4" s="114"/>
      <c r="I4" s="114"/>
      <c r="J4" s="13"/>
    </row>
    <row r="5" spans="2:10" ht="24.75" customHeight="1" x14ac:dyDescent="0.25">
      <c r="B5" s="191"/>
      <c r="C5" s="198"/>
      <c r="D5" s="199"/>
      <c r="E5" s="199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214" t="s">
        <v>121</v>
      </c>
      <c r="C7" s="214"/>
      <c r="D7" s="191"/>
      <c r="E7" s="191"/>
      <c r="F7" s="13"/>
      <c r="G7" s="113" t="s">
        <v>122</v>
      </c>
      <c r="H7" s="113"/>
      <c r="I7" s="113"/>
      <c r="J7" s="13"/>
    </row>
    <row r="8" spans="2:10" ht="15" customHeight="1" x14ac:dyDescent="0.25">
      <c r="B8" s="214" t="s">
        <v>123</v>
      </c>
      <c r="C8" s="214"/>
      <c r="D8" s="191"/>
      <c r="E8" s="191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53:J53"/>
    <mergeCell ref="B8:C8"/>
    <mergeCell ref="D8:E8"/>
    <mergeCell ref="E10:J10"/>
    <mergeCell ref="E55:H55"/>
    <mergeCell ref="B1:J1"/>
    <mergeCell ref="B2:J2"/>
    <mergeCell ref="B4:C4"/>
    <mergeCell ref="B5:C5"/>
    <mergeCell ref="B7:C7"/>
    <mergeCell ref="D7:E7"/>
  </mergeCells>
  <conditionalFormatting sqref="J52">
    <cfRule type="cellIs" dxfId="284" priority="152" stopIfTrue="1" operator="equal">
      <formula>"Inadequate"</formula>
    </cfRule>
    <cfRule type="cellIs" dxfId="283" priority="153" stopIfTrue="1" operator="equal">
      <formula>"Adequate"</formula>
    </cfRule>
    <cfRule type="cellIs" dxfId="282" priority="154" stopIfTrue="1" operator="equal">
      <formula>"Exemplary"</formula>
    </cfRule>
    <cfRule type="cellIs" dxfId="281" priority="155" stopIfTrue="1" operator="equal">
      <formula>"Poor"</formula>
    </cfRule>
  </conditionalFormatting>
  <conditionalFormatting sqref="E52:F52">
    <cfRule type="cellIs" dxfId="280" priority="156" stopIfTrue="1" operator="equal">
      <formula>"Inadequate"</formula>
    </cfRule>
    <cfRule type="cellIs" dxfId="279" priority="157" stopIfTrue="1" operator="equal">
      <formula>"Adequate"</formula>
    </cfRule>
    <cfRule type="cellIs" dxfId="278" priority="158" stopIfTrue="1" operator="equal">
      <formula>"Exemplary"</formula>
    </cfRule>
    <cfRule type="cellIs" dxfId="277" priority="159" stopIfTrue="1" operator="equal">
      <formula>"Poor"</formula>
    </cfRule>
  </conditionalFormatting>
  <conditionalFormatting sqref="G52:I52">
    <cfRule type="cellIs" dxfId="276" priority="148" stopIfTrue="1" operator="equal">
      <formula>"Inadequate"</formula>
    </cfRule>
    <cfRule type="cellIs" dxfId="275" priority="149" stopIfTrue="1" operator="equal">
      <formula>"Adequate"</formula>
    </cfRule>
    <cfRule type="cellIs" dxfId="274" priority="150" stopIfTrue="1" operator="equal">
      <formula>"Exemplary"</formula>
    </cfRule>
    <cfRule type="cellIs" dxfId="273" priority="151" stopIfTrue="1" operator="equal">
      <formula>"Poor"</formula>
    </cfRule>
  </conditionalFormatting>
  <conditionalFormatting sqref="E57:H59">
    <cfRule type="containsErrors" dxfId="272" priority="131" stopIfTrue="1">
      <formula>ISERROR(E57)</formula>
    </cfRule>
  </conditionalFormatting>
  <conditionalFormatting sqref="E61:H61">
    <cfRule type="containsErrors" dxfId="271" priority="2" stopIfTrue="1">
      <formula>ISERROR(E61)</formula>
    </cfRule>
  </conditionalFormatting>
  <conditionalFormatting sqref="E62:H62">
    <cfRule type="containsErrors" dxfId="270" priority="5" stopIfTrue="1">
      <formula>ISERROR(E62)</formula>
    </cfRule>
  </conditionalFormatting>
  <conditionalFormatting sqref="I60:I62">
    <cfRule type="containsErrors" dxfId="269" priority="4" stopIfTrue="1">
      <formula>ISERROR(I60)</formula>
    </cfRule>
  </conditionalFormatting>
  <conditionalFormatting sqref="E60:H60">
    <cfRule type="containsErrors" dxfId="268" priority="3" stopIfTrue="1">
      <formula>ISERROR(E60)</formula>
    </cfRule>
  </conditionalFormatting>
  <conditionalFormatting sqref="I57:I59">
    <cfRule type="containsErrors" dxfId="267" priority="1" stopIfTrue="1">
      <formula>ISERROR(I57)</formula>
    </cfRule>
  </conditionalFormatting>
  <dataValidations count="1">
    <dataValidation type="list" allowBlank="1" showInputMessage="1" showErrorMessage="1" sqref="E12:J51" xr:uid="{00000000-0002-0000-0A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ignoredErrors>
    <ignoredError sqref="I57:I59" evalError="1"/>
  </ignoredErrors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10</xdr:col>
                <xdr:colOff>361950</xdr:colOff>
                <xdr:row>0</xdr:row>
                <xdr:rowOff>57150</xdr:rowOff>
              </from>
              <to>
                <xdr:col>12</xdr:col>
                <xdr:colOff>666750</xdr:colOff>
                <xdr:row>1</xdr:row>
                <xdr:rowOff>361950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10</xdr:col>
                <xdr:colOff>361950</xdr:colOff>
                <xdr:row>1</xdr:row>
                <xdr:rowOff>409575</xdr:rowOff>
              </from>
              <to>
                <xdr:col>12</xdr:col>
                <xdr:colOff>666750</xdr:colOff>
                <xdr:row>4</xdr:row>
                <xdr:rowOff>228600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10</xdr:col>
                <xdr:colOff>371475</xdr:colOff>
                <xdr:row>4</xdr:row>
                <xdr:rowOff>276225</xdr:rowOff>
              </from>
              <to>
                <xdr:col>12</xdr:col>
                <xdr:colOff>676275</xdr:colOff>
                <xdr:row>7</xdr:row>
                <xdr:rowOff>76200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10</xdr:col>
                <xdr:colOff>371475</xdr:colOff>
                <xdr:row>7</xdr:row>
                <xdr:rowOff>104775</xdr:rowOff>
              </from>
              <to>
                <xdr:col>12</xdr:col>
                <xdr:colOff>666750</xdr:colOff>
                <xdr:row>10</xdr:row>
                <xdr:rowOff>85725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10</xdr:col>
                <xdr:colOff>371475</xdr:colOff>
                <xdr:row>10</xdr:row>
                <xdr:rowOff>123825</xdr:rowOff>
              </from>
              <to>
                <xdr:col>12</xdr:col>
                <xdr:colOff>666750</xdr:colOff>
                <xdr:row>10</xdr:row>
                <xdr:rowOff>628650</xdr:rowOff>
              </to>
            </anchor>
          </controlPr>
        </control>
      </mc:Choice>
      <mc:Fallback>
        <control shapeId="3077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5" tint="0.39997558519241921"/>
  </sheetPr>
  <dimension ref="B1:J87"/>
  <sheetViews>
    <sheetView showGridLines="0" zoomScale="70" zoomScaleNormal="70" workbookViewId="0">
      <selection activeCell="E11" sqref="E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8" t="str">
        <f>+'RUBRIC SO#'!A2&amp;":"&amp;" "&amp;'RUBRIC SO#'!B2</f>
        <v>RA1:  La capacidad de operar los procesos de importación y exportación de acuerdo a la normatividad vigente.</v>
      </c>
      <c r="C2" s="178"/>
      <c r="D2" s="178"/>
      <c r="E2" s="178"/>
      <c r="F2" s="178"/>
      <c r="G2" s="178"/>
      <c r="H2" s="178"/>
      <c r="I2" s="178"/>
      <c r="J2" s="178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214" t="s">
        <v>116</v>
      </c>
      <c r="C4" s="214"/>
      <c r="D4" s="219" t="s">
        <v>117</v>
      </c>
      <c r="E4" s="220" t="s">
        <v>118</v>
      </c>
      <c r="F4" s="13"/>
      <c r="G4" s="13"/>
      <c r="H4" s="13"/>
      <c r="I4" s="13"/>
      <c r="J4" s="13"/>
    </row>
    <row r="5" spans="2:10" ht="24.75" customHeight="1" x14ac:dyDescent="0.25">
      <c r="B5" s="191"/>
      <c r="C5" s="198"/>
      <c r="D5" s="199"/>
      <c r="E5" s="199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214" t="s">
        <v>121</v>
      </c>
      <c r="C7" s="214"/>
      <c r="D7" s="191"/>
      <c r="E7" s="191"/>
      <c r="F7" s="13"/>
      <c r="G7" s="113" t="s">
        <v>122</v>
      </c>
      <c r="H7" s="113"/>
      <c r="I7" s="113"/>
      <c r="J7" s="13"/>
    </row>
    <row r="8" spans="2:10" ht="15" customHeight="1" x14ac:dyDescent="0.25">
      <c r="B8" s="214" t="s">
        <v>123</v>
      </c>
      <c r="C8" s="214"/>
      <c r="D8" s="191"/>
      <c r="E8" s="191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1:J1"/>
    <mergeCell ref="B2:J2"/>
    <mergeCell ref="B4:C4"/>
    <mergeCell ref="B5:C5"/>
    <mergeCell ref="B7:C7"/>
    <mergeCell ref="D7:E7"/>
    <mergeCell ref="B79:J79"/>
    <mergeCell ref="B8:C8"/>
    <mergeCell ref="D8:E8"/>
    <mergeCell ref="E10:J10"/>
    <mergeCell ref="B53:J53"/>
    <mergeCell ref="E55:H55"/>
  </mergeCells>
  <conditionalFormatting sqref="J52">
    <cfRule type="cellIs" dxfId="266" priority="132" stopIfTrue="1" operator="equal">
      <formula>"Inadequate"</formula>
    </cfRule>
    <cfRule type="cellIs" dxfId="265" priority="133" stopIfTrue="1" operator="equal">
      <formula>"Adequate"</formula>
    </cfRule>
    <cfRule type="cellIs" dxfId="264" priority="134" stopIfTrue="1" operator="equal">
      <formula>"Exemplary"</formula>
    </cfRule>
    <cfRule type="cellIs" dxfId="263" priority="135" stopIfTrue="1" operator="equal">
      <formula>"Poor"</formula>
    </cfRule>
  </conditionalFormatting>
  <conditionalFormatting sqref="E52:F52">
    <cfRule type="cellIs" dxfId="262" priority="136" stopIfTrue="1" operator="equal">
      <formula>"Inadequate"</formula>
    </cfRule>
    <cfRule type="cellIs" dxfId="261" priority="137" stopIfTrue="1" operator="equal">
      <formula>"Adequate"</formula>
    </cfRule>
    <cfRule type="cellIs" dxfId="260" priority="138" stopIfTrue="1" operator="equal">
      <formula>"Exemplary"</formula>
    </cfRule>
    <cfRule type="cellIs" dxfId="259" priority="139" stopIfTrue="1" operator="equal">
      <formula>"Poor"</formula>
    </cfRule>
  </conditionalFormatting>
  <conditionalFormatting sqref="G52:I52">
    <cfRule type="cellIs" dxfId="258" priority="128" stopIfTrue="1" operator="equal">
      <formula>"Inadequate"</formula>
    </cfRule>
    <cfRule type="cellIs" dxfId="257" priority="129" stopIfTrue="1" operator="equal">
      <formula>"Adequate"</formula>
    </cfRule>
    <cfRule type="cellIs" dxfId="256" priority="130" stopIfTrue="1" operator="equal">
      <formula>"Exemplary"</formula>
    </cfRule>
    <cfRule type="cellIs" dxfId="255" priority="131" stopIfTrue="1" operator="equal">
      <formula>"Poor"</formula>
    </cfRule>
  </conditionalFormatting>
  <conditionalFormatting sqref="E57:H59">
    <cfRule type="containsErrors" dxfId="254" priority="115" stopIfTrue="1">
      <formula>ISERROR(E57)</formula>
    </cfRule>
  </conditionalFormatting>
  <conditionalFormatting sqref="E61:H61">
    <cfRule type="containsErrors" dxfId="253" priority="2" stopIfTrue="1">
      <formula>ISERROR(E61)</formula>
    </cfRule>
  </conditionalFormatting>
  <conditionalFormatting sqref="E62:H62">
    <cfRule type="containsErrors" dxfId="252" priority="5" stopIfTrue="1">
      <formula>ISERROR(E62)</formula>
    </cfRule>
  </conditionalFormatting>
  <conditionalFormatting sqref="I60:I62">
    <cfRule type="containsErrors" dxfId="251" priority="4" stopIfTrue="1">
      <formula>ISERROR(I60)</formula>
    </cfRule>
  </conditionalFormatting>
  <conditionalFormatting sqref="E60:H60">
    <cfRule type="containsErrors" dxfId="250" priority="3" stopIfTrue="1">
      <formula>ISERROR(E60)</formula>
    </cfRule>
  </conditionalFormatting>
  <conditionalFormatting sqref="I57:I59">
    <cfRule type="containsErrors" dxfId="249" priority="1" stopIfTrue="1">
      <formula>ISERROR(I57)</formula>
    </cfRule>
  </conditionalFormatting>
  <dataValidations count="1">
    <dataValidation type="list" allowBlank="1" showInputMessage="1" showErrorMessage="1" sqref="E12:J51" xr:uid="{00000000-0002-0000-0B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10</xdr:col>
                <xdr:colOff>390525</xdr:colOff>
                <xdr:row>0</xdr:row>
                <xdr:rowOff>76200</xdr:rowOff>
              </from>
              <to>
                <xdr:col>12</xdr:col>
                <xdr:colOff>695325</xdr:colOff>
                <xdr:row>1</xdr:row>
                <xdr:rowOff>381000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10</xdr:col>
                <xdr:colOff>390525</xdr:colOff>
                <xdr:row>2</xdr:row>
                <xdr:rowOff>19050</xdr:rowOff>
              </from>
              <to>
                <xdr:col>12</xdr:col>
                <xdr:colOff>695325</xdr:colOff>
                <xdr:row>4</xdr:row>
                <xdr:rowOff>247650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10</xdr:col>
                <xdr:colOff>381000</xdr:colOff>
                <xdr:row>4</xdr:row>
                <xdr:rowOff>304800</xdr:rowOff>
              </from>
              <to>
                <xdr:col>12</xdr:col>
                <xdr:colOff>685800</xdr:colOff>
                <xdr:row>7</xdr:row>
                <xdr:rowOff>95250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10</xdr:col>
                <xdr:colOff>381000</xdr:colOff>
                <xdr:row>7</xdr:row>
                <xdr:rowOff>142875</xdr:rowOff>
              </from>
              <to>
                <xdr:col>12</xdr:col>
                <xdr:colOff>676275</xdr:colOff>
                <xdr:row>10</xdr:row>
                <xdr:rowOff>123825</xdr:rowOff>
              </to>
            </anchor>
          </controlPr>
        </control>
      </mc:Choice>
      <mc:Fallback>
        <control shapeId="8196" r:id="rId10" name="CommandButton4"/>
      </mc:Fallback>
    </mc:AlternateContent>
    <mc:AlternateContent xmlns:mc="http://schemas.openxmlformats.org/markup-compatibility/2006">
      <mc:Choice Requires="x14">
        <control shapeId="8197" r:id="rId12" name="CommandButton5">
          <controlPr defaultSize="0" autoLine="0" r:id="rId13">
            <anchor moveWithCells="1">
              <from>
                <xdr:col>10</xdr:col>
                <xdr:colOff>381000</xdr:colOff>
                <xdr:row>10</xdr:row>
                <xdr:rowOff>171450</xdr:rowOff>
              </from>
              <to>
                <xdr:col>12</xdr:col>
                <xdr:colOff>676275</xdr:colOff>
                <xdr:row>10</xdr:row>
                <xdr:rowOff>676275</xdr:rowOff>
              </to>
            </anchor>
          </controlPr>
        </control>
      </mc:Choice>
      <mc:Fallback>
        <control shapeId="8197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theme="5" tint="0.39997558519241921"/>
  </sheetPr>
  <dimension ref="B1:J87"/>
  <sheetViews>
    <sheetView showGridLines="0" zoomScale="70" zoomScaleNormal="70" workbookViewId="0">
      <selection activeCell="B2" sqref="B2:J2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8" t="str">
        <f>+'RUBRIC SO#'!A2&amp;":"&amp;" "&amp;'RUBRIC SO#'!B2</f>
        <v>RA1:  La capacidad de operar los procesos de importación y exportación de acuerdo a la normatividad vigente.</v>
      </c>
      <c r="C2" s="178"/>
      <c r="D2" s="178"/>
      <c r="E2" s="178"/>
      <c r="F2" s="178"/>
      <c r="G2" s="178"/>
      <c r="H2" s="178"/>
      <c r="I2" s="178"/>
      <c r="J2" s="178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214" t="s">
        <v>116</v>
      </c>
      <c r="C4" s="214"/>
      <c r="D4" s="219" t="s">
        <v>117</v>
      </c>
      <c r="E4" s="220" t="s">
        <v>118</v>
      </c>
      <c r="F4" s="13"/>
      <c r="G4" s="13"/>
      <c r="H4" s="13"/>
      <c r="I4" s="13"/>
      <c r="J4" s="13"/>
    </row>
    <row r="5" spans="2:10" ht="24.75" customHeight="1" x14ac:dyDescent="0.25">
      <c r="B5" s="191"/>
      <c r="C5" s="198"/>
      <c r="D5" s="199"/>
      <c r="E5" s="199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214" t="s">
        <v>121</v>
      </c>
      <c r="C7" s="214"/>
      <c r="D7" s="191"/>
      <c r="E7" s="191"/>
      <c r="F7" s="13"/>
      <c r="G7" s="113" t="s">
        <v>122</v>
      </c>
      <c r="H7" s="113"/>
      <c r="I7" s="113"/>
      <c r="J7" s="13"/>
    </row>
    <row r="8" spans="2:10" ht="15" customHeight="1" x14ac:dyDescent="0.25">
      <c r="B8" s="214" t="s">
        <v>123</v>
      </c>
      <c r="C8" s="214"/>
      <c r="D8" s="191"/>
      <c r="E8" s="191"/>
      <c r="F8" s="13"/>
      <c r="G8" s="112" t="s">
        <v>124</v>
      </c>
      <c r="H8" s="112"/>
      <c r="I8" s="112"/>
      <c r="J8" s="112"/>
    </row>
    <row r="9" spans="2:10" ht="11.25" customHeight="1" x14ac:dyDescent="0.25">
      <c r="B9" s="14"/>
      <c r="C9" s="14"/>
      <c r="D9" s="8"/>
      <c r="E9" s="8"/>
      <c r="F9" s="13"/>
      <c r="G9" s="112"/>
      <c r="H9" s="112"/>
      <c r="I9" s="112"/>
      <c r="J9" s="112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ht="14.25" customHeight="1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ht="14.25" customHeight="1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ht="14.25" customHeight="1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ht="14.25" customHeight="1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ht="14.25" customHeight="1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ht="14.25" customHeight="1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ht="14.25" customHeight="1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ht="14.25" customHeight="1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ht="14.25" customHeight="1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ht="14.25" customHeight="1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ht="14.25" customHeight="1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ht="14.25" customHeight="1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ht="14.25" customHeight="1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ht="14.25" customHeight="1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ht="14.25" customHeight="1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ht="14.25" customHeight="1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ht="14.25" customHeight="1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ht="14.25" customHeight="1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ht="14.25" customHeight="1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ht="14.25" customHeight="1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  <c r="I56" s="107"/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1:J1"/>
    <mergeCell ref="B2:J2"/>
    <mergeCell ref="B4:C4"/>
    <mergeCell ref="B5:C5"/>
    <mergeCell ref="B7:C7"/>
    <mergeCell ref="D7:E7"/>
    <mergeCell ref="B79:J79"/>
    <mergeCell ref="B8:C8"/>
    <mergeCell ref="D8:E8"/>
    <mergeCell ref="E10:J10"/>
    <mergeCell ref="B53:J53"/>
    <mergeCell ref="E55:H55"/>
  </mergeCells>
  <conditionalFormatting sqref="J52">
    <cfRule type="cellIs" dxfId="248" priority="132" stopIfTrue="1" operator="equal">
      <formula>"Inadequate"</formula>
    </cfRule>
    <cfRule type="cellIs" dxfId="247" priority="133" stopIfTrue="1" operator="equal">
      <formula>"Adequate"</formula>
    </cfRule>
    <cfRule type="cellIs" dxfId="246" priority="134" stopIfTrue="1" operator="equal">
      <formula>"Exemplary"</formula>
    </cfRule>
    <cfRule type="cellIs" dxfId="245" priority="135" stopIfTrue="1" operator="equal">
      <formula>"Poor"</formula>
    </cfRule>
  </conditionalFormatting>
  <conditionalFormatting sqref="E52:F52">
    <cfRule type="cellIs" dxfId="244" priority="136" stopIfTrue="1" operator="equal">
      <formula>"Inadequate"</formula>
    </cfRule>
    <cfRule type="cellIs" dxfId="243" priority="137" stopIfTrue="1" operator="equal">
      <formula>"Adequate"</formula>
    </cfRule>
    <cfRule type="cellIs" dxfId="242" priority="138" stopIfTrue="1" operator="equal">
      <formula>"Exemplary"</formula>
    </cfRule>
    <cfRule type="cellIs" dxfId="241" priority="139" stopIfTrue="1" operator="equal">
      <formula>"Poor"</formula>
    </cfRule>
  </conditionalFormatting>
  <conditionalFormatting sqref="G52:I52">
    <cfRule type="cellIs" dxfId="240" priority="128" stopIfTrue="1" operator="equal">
      <formula>"Inadequate"</formula>
    </cfRule>
    <cfRule type="cellIs" dxfId="239" priority="129" stopIfTrue="1" operator="equal">
      <formula>"Adequate"</formula>
    </cfRule>
    <cfRule type="cellIs" dxfId="238" priority="130" stopIfTrue="1" operator="equal">
      <formula>"Exemplary"</formula>
    </cfRule>
    <cfRule type="cellIs" dxfId="237" priority="131" stopIfTrue="1" operator="equal">
      <formula>"Poor"</formula>
    </cfRule>
  </conditionalFormatting>
  <conditionalFormatting sqref="E57:H59">
    <cfRule type="containsErrors" dxfId="236" priority="115" stopIfTrue="1">
      <formula>ISERROR(E57)</formula>
    </cfRule>
  </conditionalFormatting>
  <conditionalFormatting sqref="E61:H61">
    <cfRule type="containsErrors" dxfId="235" priority="2" stopIfTrue="1">
      <formula>ISERROR(E61)</formula>
    </cfRule>
  </conditionalFormatting>
  <conditionalFormatting sqref="E62:H62">
    <cfRule type="containsErrors" dxfId="234" priority="5" stopIfTrue="1">
      <formula>ISERROR(E62)</formula>
    </cfRule>
  </conditionalFormatting>
  <conditionalFormatting sqref="I61:I62">
    <cfRule type="containsErrors" dxfId="233" priority="4" stopIfTrue="1">
      <formula>ISERROR(I61)</formula>
    </cfRule>
  </conditionalFormatting>
  <conditionalFormatting sqref="E60:H60">
    <cfRule type="containsErrors" dxfId="232" priority="3" stopIfTrue="1">
      <formula>ISERROR(E60)</formula>
    </cfRule>
  </conditionalFormatting>
  <conditionalFormatting sqref="I56:I60">
    <cfRule type="containsErrors" dxfId="231" priority="1" stopIfTrue="1">
      <formula>ISERROR(I56)</formula>
    </cfRule>
  </conditionalFormatting>
  <dataValidations disablePrompts="1" count="1">
    <dataValidation type="list" allowBlank="1" showInputMessage="1" showErrorMessage="1" sqref="E12:J51" xr:uid="{00000000-0002-0000-0C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657225</xdr:colOff>
                <xdr:row>1</xdr:row>
                <xdr:rowOff>400050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10</xdr:col>
                <xdr:colOff>352425</xdr:colOff>
                <xdr:row>2</xdr:row>
                <xdr:rowOff>28575</xdr:rowOff>
              </from>
              <to>
                <xdr:col>12</xdr:col>
                <xdr:colOff>657225</xdr:colOff>
                <xdr:row>4</xdr:row>
                <xdr:rowOff>266700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10</xdr:col>
                <xdr:colOff>361950</xdr:colOff>
                <xdr:row>5</xdr:row>
                <xdr:rowOff>19050</xdr:rowOff>
              </from>
              <to>
                <xdr:col>12</xdr:col>
                <xdr:colOff>666750</xdr:colOff>
                <xdr:row>7</xdr:row>
                <xdr:rowOff>123825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4" r:id="rId10" name="CommandButton4">
          <controlPr defaultSize="0" autoLine="0" r:id="rId11">
            <anchor moveWithCells="1">
              <from>
                <xdr:col>10</xdr:col>
                <xdr:colOff>381000</xdr:colOff>
                <xdr:row>7</xdr:row>
                <xdr:rowOff>180975</xdr:rowOff>
              </from>
              <to>
                <xdr:col>12</xdr:col>
                <xdr:colOff>666750</xdr:colOff>
                <xdr:row>10</xdr:row>
                <xdr:rowOff>161925</xdr:rowOff>
              </to>
            </anchor>
          </controlPr>
        </control>
      </mc:Choice>
      <mc:Fallback>
        <control shapeId="5124" r:id="rId10" name="CommandButton4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r:id="rId13">
            <anchor moveWithCells="1">
              <from>
                <xdr:col>10</xdr:col>
                <xdr:colOff>381000</xdr:colOff>
                <xdr:row>10</xdr:row>
                <xdr:rowOff>209550</xdr:rowOff>
              </from>
              <to>
                <xdr:col>12</xdr:col>
                <xdr:colOff>666750</xdr:colOff>
                <xdr:row>10</xdr:row>
                <xdr:rowOff>714375</xdr:rowOff>
              </to>
            </anchor>
          </controlPr>
        </control>
      </mc:Choice>
      <mc:Fallback>
        <control shapeId="5125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C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5" tint="0.39997558519241921"/>
  </sheetPr>
  <dimension ref="B1:J87"/>
  <sheetViews>
    <sheetView showGridLines="0" zoomScale="70" zoomScaleNormal="70" workbookViewId="0">
      <selection activeCell="E11" sqref="E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8" t="str">
        <f>+'RUBRIC SO#'!A2&amp;":"&amp;" "&amp;'RUBRIC SO#'!B2</f>
        <v>RA1:  La capacidad de operar los procesos de importación y exportación de acuerdo a la normatividad vigente.</v>
      </c>
      <c r="C2" s="178"/>
      <c r="D2" s="178"/>
      <c r="E2" s="178"/>
      <c r="F2" s="178"/>
      <c r="G2" s="178"/>
      <c r="H2" s="178"/>
      <c r="I2" s="178"/>
      <c r="J2" s="178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214" t="s">
        <v>116</v>
      </c>
      <c r="C4" s="214"/>
      <c r="D4" s="219" t="s">
        <v>117</v>
      </c>
      <c r="E4" s="220" t="s">
        <v>118</v>
      </c>
      <c r="F4" s="13"/>
      <c r="G4" s="13"/>
      <c r="H4" s="13"/>
      <c r="I4" s="13"/>
      <c r="J4" s="13"/>
    </row>
    <row r="5" spans="2:10" ht="24.75" customHeight="1" x14ac:dyDescent="0.25">
      <c r="B5" s="191"/>
      <c r="C5" s="198"/>
      <c r="D5" s="199"/>
      <c r="E5" s="199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214" t="s">
        <v>121</v>
      </c>
      <c r="C7" s="214"/>
      <c r="D7" s="191"/>
      <c r="E7" s="191"/>
      <c r="F7" s="13"/>
      <c r="G7" s="113" t="s">
        <v>122</v>
      </c>
      <c r="H7" s="113"/>
      <c r="I7" s="113"/>
      <c r="J7" s="13"/>
    </row>
    <row r="8" spans="2:10" ht="15" customHeight="1" x14ac:dyDescent="0.25">
      <c r="B8" s="214" t="s">
        <v>123</v>
      </c>
      <c r="C8" s="214"/>
      <c r="D8" s="191"/>
      <c r="E8" s="191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1:J1"/>
    <mergeCell ref="B2:J2"/>
    <mergeCell ref="B4:C4"/>
    <mergeCell ref="B5:C5"/>
    <mergeCell ref="B7:C7"/>
    <mergeCell ref="D7:E7"/>
    <mergeCell ref="B79:J79"/>
    <mergeCell ref="B8:C8"/>
    <mergeCell ref="D8:E8"/>
    <mergeCell ref="E10:J10"/>
    <mergeCell ref="B53:J53"/>
    <mergeCell ref="E55:H55"/>
  </mergeCells>
  <conditionalFormatting sqref="J52">
    <cfRule type="cellIs" dxfId="230" priority="140" stopIfTrue="1" operator="equal">
      <formula>"Inadequate"</formula>
    </cfRule>
    <cfRule type="cellIs" dxfId="229" priority="141" stopIfTrue="1" operator="equal">
      <formula>"Adequate"</formula>
    </cfRule>
    <cfRule type="cellIs" dxfId="228" priority="142" stopIfTrue="1" operator="equal">
      <formula>"Exemplary"</formula>
    </cfRule>
    <cfRule type="cellIs" dxfId="227" priority="143" stopIfTrue="1" operator="equal">
      <formula>"Poor"</formula>
    </cfRule>
  </conditionalFormatting>
  <conditionalFormatting sqref="E52:F52">
    <cfRule type="cellIs" dxfId="226" priority="144" stopIfTrue="1" operator="equal">
      <formula>"Inadequate"</formula>
    </cfRule>
    <cfRule type="cellIs" dxfId="225" priority="145" stopIfTrue="1" operator="equal">
      <formula>"Adequate"</formula>
    </cfRule>
    <cfRule type="cellIs" dxfId="224" priority="146" stopIfTrue="1" operator="equal">
      <formula>"Exemplary"</formula>
    </cfRule>
    <cfRule type="cellIs" dxfId="223" priority="147" stopIfTrue="1" operator="equal">
      <formula>"Poor"</formula>
    </cfRule>
  </conditionalFormatting>
  <conditionalFormatting sqref="G52:I52">
    <cfRule type="cellIs" dxfId="222" priority="136" stopIfTrue="1" operator="equal">
      <formula>"Inadequate"</formula>
    </cfRule>
    <cfRule type="cellIs" dxfId="221" priority="137" stopIfTrue="1" operator="equal">
      <formula>"Adequate"</formula>
    </cfRule>
    <cfRule type="cellIs" dxfId="220" priority="138" stopIfTrue="1" operator="equal">
      <formula>"Exemplary"</formula>
    </cfRule>
    <cfRule type="cellIs" dxfId="219" priority="139" stopIfTrue="1" operator="equal">
      <formula>"Poor"</formula>
    </cfRule>
  </conditionalFormatting>
  <conditionalFormatting sqref="E57:H59">
    <cfRule type="containsErrors" dxfId="218" priority="123" stopIfTrue="1">
      <formula>ISERROR(E57)</formula>
    </cfRule>
  </conditionalFormatting>
  <conditionalFormatting sqref="I57:I59">
    <cfRule type="containsErrors" dxfId="217" priority="122" stopIfTrue="1">
      <formula>ISERROR(I57)</formula>
    </cfRule>
  </conditionalFormatting>
  <conditionalFormatting sqref="E61:H61">
    <cfRule type="containsErrors" dxfId="216" priority="2" stopIfTrue="1">
      <formula>ISERROR(E61)</formula>
    </cfRule>
  </conditionalFormatting>
  <conditionalFormatting sqref="E62:H62">
    <cfRule type="containsErrors" dxfId="215" priority="5" stopIfTrue="1">
      <formula>ISERROR(E62)</formula>
    </cfRule>
  </conditionalFormatting>
  <conditionalFormatting sqref="I61:I62">
    <cfRule type="containsErrors" dxfId="214" priority="4" stopIfTrue="1">
      <formula>ISERROR(I61)</formula>
    </cfRule>
  </conditionalFormatting>
  <conditionalFormatting sqref="E60:H60">
    <cfRule type="containsErrors" dxfId="213" priority="3" stopIfTrue="1">
      <formula>ISERROR(E60)</formula>
    </cfRule>
  </conditionalFormatting>
  <conditionalFormatting sqref="I57:I60">
    <cfRule type="containsErrors" dxfId="212" priority="1" stopIfTrue="1">
      <formula>ISERROR(I57)</formula>
    </cfRule>
  </conditionalFormatting>
  <dataValidations count="1">
    <dataValidation type="list" allowBlank="1" showInputMessage="1" showErrorMessage="1" sqref="E12:J51" xr:uid="{00000000-0002-0000-0D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6146" r:id="rId6" name="CommandButton2"/>
      </mc:Fallback>
    </mc:AlternateContent>
    <mc:AlternateContent xmlns:mc="http://schemas.openxmlformats.org/markup-compatibility/2006">
      <mc:Choice Requires="x14">
        <control shapeId="6147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6147" r:id="rId8" name="CommandButton3"/>
      </mc:Fallback>
    </mc:AlternateContent>
    <mc:AlternateContent xmlns:mc="http://schemas.openxmlformats.org/markup-compatibility/2006">
      <mc:Choice Requires="x14">
        <control shapeId="6148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304800</xdr:rowOff>
              </from>
              <to>
                <xdr:col>12</xdr:col>
                <xdr:colOff>685800</xdr:colOff>
                <xdr:row>10</xdr:row>
                <xdr:rowOff>809625</xdr:rowOff>
              </to>
            </anchor>
          </controlPr>
        </control>
      </mc:Choice>
      <mc:Fallback>
        <control shapeId="6148" r:id="rId10" name="CommandButton4"/>
      </mc:Fallback>
    </mc:AlternateContent>
    <mc:AlternateContent xmlns:mc="http://schemas.openxmlformats.org/markup-compatibility/2006">
      <mc:Choice Requires="x14">
        <control shapeId="6149" r:id="rId12" name="CommandButton5">
          <controlPr defaultSize="0" autoLine="0" r:id="rId13">
            <anchor moveWithCells="1">
              <from>
                <xdr:col>10</xdr:col>
                <xdr:colOff>390525</xdr:colOff>
                <xdr:row>8</xdr:row>
                <xdr:rowOff>57150</xdr:rowOff>
              </from>
              <to>
                <xdr:col>12</xdr:col>
                <xdr:colOff>676275</xdr:colOff>
                <xdr:row>10</xdr:row>
                <xdr:rowOff>219075</xdr:rowOff>
              </to>
            </anchor>
          </controlPr>
        </control>
      </mc:Choice>
      <mc:Fallback>
        <control shapeId="6149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theme="5" tint="0.39997558519241921"/>
  </sheetPr>
  <dimension ref="B1:J87"/>
  <sheetViews>
    <sheetView showGridLines="0" zoomScale="70" zoomScaleNormal="70" workbookViewId="0">
      <selection activeCell="E11" sqref="E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7" t="str">
        <f>+'RUBRIC SO#'!A2&amp;":"&amp;" "&amp;'RUBRIC SO#'!B2</f>
        <v>RA1:  La capacidad de operar los procesos de importación y exportación de acuerdo a la normatividad vigente.</v>
      </c>
      <c r="C2" s="177"/>
      <c r="D2" s="177"/>
      <c r="E2" s="177"/>
      <c r="F2" s="177"/>
      <c r="G2" s="177"/>
      <c r="H2" s="177"/>
      <c r="I2" s="177"/>
      <c r="J2" s="17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214" t="s">
        <v>116</v>
      </c>
      <c r="C4" s="214"/>
      <c r="D4" s="219" t="s">
        <v>117</v>
      </c>
      <c r="E4" s="220" t="s">
        <v>118</v>
      </c>
      <c r="F4" s="13"/>
      <c r="G4" s="13"/>
      <c r="H4" s="13"/>
      <c r="I4" s="13"/>
      <c r="J4" s="13"/>
    </row>
    <row r="5" spans="2:10" ht="24.75" customHeight="1" x14ac:dyDescent="0.25">
      <c r="B5" s="191"/>
      <c r="C5" s="198"/>
      <c r="D5" s="199"/>
      <c r="E5" s="199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214" t="s">
        <v>121</v>
      </c>
      <c r="C7" s="214"/>
      <c r="D7" s="191"/>
      <c r="E7" s="191"/>
      <c r="F7" s="13"/>
      <c r="G7" s="113" t="s">
        <v>122</v>
      </c>
      <c r="H7" s="113"/>
      <c r="I7" s="113"/>
      <c r="J7" s="13"/>
    </row>
    <row r="8" spans="2:10" ht="15" customHeight="1" x14ac:dyDescent="0.25">
      <c r="B8" s="214" t="s">
        <v>123</v>
      </c>
      <c r="C8" s="214"/>
      <c r="D8" s="191"/>
      <c r="E8" s="191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211" priority="12" stopIfTrue="1" operator="equal">
      <formula>"Inadequate"</formula>
    </cfRule>
    <cfRule type="cellIs" dxfId="210" priority="13" stopIfTrue="1" operator="equal">
      <formula>"Adequate"</formula>
    </cfRule>
    <cfRule type="cellIs" dxfId="209" priority="14" stopIfTrue="1" operator="equal">
      <formula>"Exemplary"</formula>
    </cfRule>
    <cfRule type="cellIs" dxfId="208" priority="15" stopIfTrue="1" operator="equal">
      <formula>"Poor"</formula>
    </cfRule>
  </conditionalFormatting>
  <conditionalFormatting sqref="E52:F52">
    <cfRule type="cellIs" dxfId="207" priority="16" stopIfTrue="1" operator="equal">
      <formula>"Inadequate"</formula>
    </cfRule>
    <cfRule type="cellIs" dxfId="206" priority="17" stopIfTrue="1" operator="equal">
      <formula>"Adequate"</formula>
    </cfRule>
    <cfRule type="cellIs" dxfId="205" priority="18" stopIfTrue="1" operator="equal">
      <formula>"Exemplary"</formula>
    </cfRule>
    <cfRule type="cellIs" dxfId="204" priority="19" stopIfTrue="1" operator="equal">
      <formula>"Poor"</formula>
    </cfRule>
  </conditionalFormatting>
  <conditionalFormatting sqref="G52:I52">
    <cfRule type="cellIs" dxfId="203" priority="8" stopIfTrue="1" operator="equal">
      <formula>"Inadequate"</formula>
    </cfRule>
    <cfRule type="cellIs" dxfId="202" priority="9" stopIfTrue="1" operator="equal">
      <formula>"Adequate"</formula>
    </cfRule>
    <cfRule type="cellIs" dxfId="201" priority="10" stopIfTrue="1" operator="equal">
      <formula>"Exemplary"</formula>
    </cfRule>
    <cfRule type="cellIs" dxfId="200" priority="11" stopIfTrue="1" operator="equal">
      <formula>"Poor"</formula>
    </cfRule>
  </conditionalFormatting>
  <conditionalFormatting sqref="E57:H59">
    <cfRule type="containsErrors" dxfId="199" priority="7" stopIfTrue="1">
      <formula>ISERROR(E57)</formula>
    </cfRule>
  </conditionalFormatting>
  <conditionalFormatting sqref="I57:I59">
    <cfRule type="containsErrors" dxfId="198" priority="6" stopIfTrue="1">
      <formula>ISERROR(I57)</formula>
    </cfRule>
  </conditionalFormatting>
  <conditionalFormatting sqref="E61:H61">
    <cfRule type="containsErrors" dxfId="197" priority="2" stopIfTrue="1">
      <formula>ISERROR(E61)</formula>
    </cfRule>
  </conditionalFormatting>
  <conditionalFormatting sqref="E62:H62">
    <cfRule type="containsErrors" dxfId="196" priority="5" stopIfTrue="1">
      <formula>ISERROR(E62)</formula>
    </cfRule>
  </conditionalFormatting>
  <conditionalFormatting sqref="I61:I62">
    <cfRule type="containsErrors" dxfId="195" priority="4" stopIfTrue="1">
      <formula>ISERROR(I61)</formula>
    </cfRule>
  </conditionalFormatting>
  <conditionalFormatting sqref="E60:H60">
    <cfRule type="containsErrors" dxfId="194" priority="3" stopIfTrue="1">
      <formula>ISERROR(E60)</formula>
    </cfRule>
  </conditionalFormatting>
  <conditionalFormatting sqref="I57:I60">
    <cfRule type="containsErrors" dxfId="193" priority="1" stopIfTrue="1">
      <formula>ISERROR(I57)</formula>
    </cfRule>
  </conditionalFormatting>
  <dataValidations count="1">
    <dataValidation type="list" allowBlank="1" showInputMessage="1" showErrorMessage="1" sqref="E12:J51" xr:uid="{00000000-0002-0000-0E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5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13315" r:id="rId8" name="CommandButton3"/>
      </mc:Fallback>
    </mc:AlternateContent>
    <mc:AlternateContent xmlns:mc="http://schemas.openxmlformats.org/markup-compatibility/2006">
      <mc:Choice Requires="x14">
        <control shapeId="13316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333375</xdr:rowOff>
              </from>
              <to>
                <xdr:col>12</xdr:col>
                <xdr:colOff>685800</xdr:colOff>
                <xdr:row>10</xdr:row>
                <xdr:rowOff>838200</xdr:rowOff>
              </to>
            </anchor>
          </controlPr>
        </control>
      </mc:Choice>
      <mc:Fallback>
        <control shapeId="13316" r:id="rId10" name="CommandButton4"/>
      </mc:Fallback>
    </mc:AlternateContent>
    <mc:AlternateContent xmlns:mc="http://schemas.openxmlformats.org/markup-compatibility/2006">
      <mc:Choice Requires="x14">
        <control shapeId="13318" r:id="rId12" name="CommandButton5">
          <controlPr defaultSize="0" autoLine="0" r:id="rId13">
            <anchor moveWithCells="1">
              <from>
                <xdr:col>10</xdr:col>
                <xdr:colOff>390525</xdr:colOff>
                <xdr:row>8</xdr:row>
                <xdr:rowOff>85725</xdr:rowOff>
              </from>
              <to>
                <xdr:col>12</xdr:col>
                <xdr:colOff>676275</xdr:colOff>
                <xdr:row>10</xdr:row>
                <xdr:rowOff>238125</xdr:rowOff>
              </to>
            </anchor>
          </controlPr>
        </control>
      </mc:Choice>
      <mc:Fallback>
        <control shapeId="13318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>
    <tabColor theme="5" tint="0.39997558519241921"/>
  </sheetPr>
  <dimension ref="B1:J87"/>
  <sheetViews>
    <sheetView showGridLines="0" zoomScale="70" zoomScaleNormal="70" workbookViewId="0">
      <selection activeCell="E11" sqref="E11: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7" t="str">
        <f>+'RUBRIC SO#'!A2&amp;":"&amp;" "&amp;'RUBRIC SO#'!B2</f>
        <v>RA1:  La capacidad de operar los procesos de importación y exportación de acuerdo a la normatividad vigente.</v>
      </c>
      <c r="C2" s="177"/>
      <c r="D2" s="177"/>
      <c r="E2" s="177"/>
      <c r="F2" s="177"/>
      <c r="G2" s="177"/>
      <c r="H2" s="177"/>
      <c r="I2" s="177"/>
      <c r="J2" s="17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ht="15.75" x14ac:dyDescent="0.25">
      <c r="B4" s="215" t="s">
        <v>116</v>
      </c>
      <c r="C4" s="215"/>
      <c r="D4" s="216" t="s">
        <v>117</v>
      </c>
      <c r="E4" s="217" t="s">
        <v>118</v>
      </c>
      <c r="F4" s="13"/>
      <c r="G4" s="13"/>
      <c r="H4" s="13"/>
      <c r="I4" s="13"/>
      <c r="J4" s="13"/>
    </row>
    <row r="5" spans="2:10" ht="24.75" customHeight="1" x14ac:dyDescent="0.25">
      <c r="B5" s="200"/>
      <c r="C5" s="201"/>
      <c r="D5" s="202"/>
      <c r="E5" s="202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214" t="s">
        <v>121</v>
      </c>
      <c r="C7" s="218"/>
      <c r="D7" s="191"/>
      <c r="E7" s="191"/>
      <c r="F7" s="13"/>
      <c r="G7" s="113" t="s">
        <v>122</v>
      </c>
      <c r="H7" s="113"/>
      <c r="I7" s="113"/>
      <c r="J7" s="13"/>
    </row>
    <row r="8" spans="2:10" ht="15" customHeight="1" x14ac:dyDescent="0.25">
      <c r="B8" s="214" t="s">
        <v>123</v>
      </c>
      <c r="C8" s="214"/>
      <c r="D8" s="191"/>
      <c r="E8" s="191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192" priority="12" stopIfTrue="1" operator="equal">
      <formula>"Inadequate"</formula>
    </cfRule>
    <cfRule type="cellIs" dxfId="191" priority="13" stopIfTrue="1" operator="equal">
      <formula>"Adequate"</formula>
    </cfRule>
    <cfRule type="cellIs" dxfId="190" priority="14" stopIfTrue="1" operator="equal">
      <formula>"Exemplary"</formula>
    </cfRule>
    <cfRule type="cellIs" dxfId="189" priority="15" stopIfTrue="1" operator="equal">
      <formula>"Poor"</formula>
    </cfRule>
  </conditionalFormatting>
  <conditionalFormatting sqref="E52:F52">
    <cfRule type="cellIs" dxfId="188" priority="16" stopIfTrue="1" operator="equal">
      <formula>"Inadequate"</formula>
    </cfRule>
    <cfRule type="cellIs" dxfId="187" priority="17" stopIfTrue="1" operator="equal">
      <formula>"Adequate"</formula>
    </cfRule>
    <cfRule type="cellIs" dxfId="186" priority="18" stopIfTrue="1" operator="equal">
      <formula>"Exemplary"</formula>
    </cfRule>
    <cfRule type="cellIs" dxfId="185" priority="19" stopIfTrue="1" operator="equal">
      <formula>"Poor"</formula>
    </cfRule>
  </conditionalFormatting>
  <conditionalFormatting sqref="G52:I52">
    <cfRule type="cellIs" dxfId="184" priority="8" stopIfTrue="1" operator="equal">
      <formula>"Inadequate"</formula>
    </cfRule>
    <cfRule type="cellIs" dxfId="183" priority="9" stopIfTrue="1" operator="equal">
      <formula>"Adequate"</formula>
    </cfRule>
    <cfRule type="cellIs" dxfId="182" priority="10" stopIfTrue="1" operator="equal">
      <formula>"Exemplary"</formula>
    </cfRule>
    <cfRule type="cellIs" dxfId="181" priority="11" stopIfTrue="1" operator="equal">
      <formula>"Poor"</formula>
    </cfRule>
  </conditionalFormatting>
  <conditionalFormatting sqref="E57:H59">
    <cfRule type="containsErrors" dxfId="180" priority="7" stopIfTrue="1">
      <formula>ISERROR(E57)</formula>
    </cfRule>
  </conditionalFormatting>
  <conditionalFormatting sqref="I57:I59">
    <cfRule type="containsErrors" dxfId="179" priority="6" stopIfTrue="1">
      <formula>ISERROR(I57)</formula>
    </cfRule>
  </conditionalFormatting>
  <conditionalFormatting sqref="E61:H61">
    <cfRule type="containsErrors" dxfId="178" priority="2" stopIfTrue="1">
      <formula>ISERROR(E61)</formula>
    </cfRule>
  </conditionalFormatting>
  <conditionalFormatting sqref="E62:H62">
    <cfRule type="containsErrors" dxfId="177" priority="5" stopIfTrue="1">
      <formula>ISERROR(E62)</formula>
    </cfRule>
  </conditionalFormatting>
  <conditionalFormatting sqref="I61:I62">
    <cfRule type="containsErrors" dxfId="176" priority="4" stopIfTrue="1">
      <formula>ISERROR(I61)</formula>
    </cfRule>
  </conditionalFormatting>
  <conditionalFormatting sqref="E60:H60">
    <cfRule type="containsErrors" dxfId="175" priority="3" stopIfTrue="1">
      <formula>ISERROR(E60)</formula>
    </cfRule>
  </conditionalFormatting>
  <conditionalFormatting sqref="I57:I60">
    <cfRule type="containsErrors" dxfId="174" priority="1" stopIfTrue="1">
      <formula>ISERROR(I57)</formula>
    </cfRule>
  </conditionalFormatting>
  <dataValidations count="1">
    <dataValidation type="list" allowBlank="1" showInputMessage="1" showErrorMessage="1" sqref="E12:J51" xr:uid="{00000000-0002-0000-0F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9525</xdr:rowOff>
              </to>
            </anchor>
          </controlPr>
        </control>
      </mc:Choice>
      <mc:Fallback>
        <control shapeId="21506" r:id="rId6" name="CommandButton2"/>
      </mc:Fallback>
    </mc:AlternateContent>
    <mc:AlternateContent xmlns:mc="http://schemas.openxmlformats.org/markup-compatibility/2006">
      <mc:Choice Requires="x14">
        <control shapeId="21507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1507" r:id="rId8" name="CommandButton3"/>
      </mc:Fallback>
    </mc:AlternateContent>
    <mc:AlternateContent xmlns:mc="http://schemas.openxmlformats.org/markup-compatibility/2006">
      <mc:Choice Requires="x14">
        <control shapeId="21508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333375</xdr:rowOff>
              </from>
              <to>
                <xdr:col>12</xdr:col>
                <xdr:colOff>685800</xdr:colOff>
                <xdr:row>10</xdr:row>
                <xdr:rowOff>838200</xdr:rowOff>
              </to>
            </anchor>
          </controlPr>
        </control>
      </mc:Choice>
      <mc:Fallback>
        <control shapeId="21508" r:id="rId10" name="CommandButton4"/>
      </mc:Fallback>
    </mc:AlternateContent>
    <mc:AlternateContent xmlns:mc="http://schemas.openxmlformats.org/markup-compatibility/2006">
      <mc:Choice Requires="x14">
        <control shapeId="21509" r:id="rId12" name="CommandButton5">
          <controlPr defaultSize="0" autoLine="0" r:id="rId13">
            <anchor moveWithCells="1">
              <from>
                <xdr:col>10</xdr:col>
                <xdr:colOff>381000</xdr:colOff>
                <xdr:row>8</xdr:row>
                <xdr:rowOff>85725</xdr:rowOff>
              </from>
              <to>
                <xdr:col>12</xdr:col>
                <xdr:colOff>657225</xdr:colOff>
                <xdr:row>10</xdr:row>
                <xdr:rowOff>228600</xdr:rowOff>
              </to>
            </anchor>
          </controlPr>
        </control>
      </mc:Choice>
      <mc:Fallback>
        <control shapeId="21509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>
    <tabColor theme="5" tint="0.39997558519241921"/>
  </sheetPr>
  <dimension ref="B1:J87"/>
  <sheetViews>
    <sheetView showGridLines="0" zoomScale="70" zoomScaleNormal="70" workbookViewId="0">
      <selection activeCell="B2" sqref="B2:J2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8" t="str">
        <f>+'RUBRIC SO#'!A2&amp;":"&amp;" "&amp;'RUBRIC SO#'!B2</f>
        <v>RA1:  La capacidad de operar los procesos de importación y exportación de acuerdo a la normatividad vigente.</v>
      </c>
      <c r="C2" s="178"/>
      <c r="D2" s="178"/>
      <c r="E2" s="178"/>
      <c r="F2" s="178"/>
      <c r="G2" s="178"/>
      <c r="H2" s="178"/>
      <c r="I2" s="178"/>
      <c r="J2" s="178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92" t="s">
        <v>116</v>
      </c>
      <c r="C4" s="192"/>
      <c r="D4" s="194" t="s">
        <v>117</v>
      </c>
      <c r="E4" s="195" t="s">
        <v>118</v>
      </c>
      <c r="F4" s="13"/>
      <c r="G4" s="13"/>
      <c r="H4" s="13"/>
      <c r="I4" s="13"/>
      <c r="J4" s="13"/>
    </row>
    <row r="5" spans="2:10" ht="24.75" customHeight="1" x14ac:dyDescent="0.25">
      <c r="B5" s="193"/>
      <c r="C5" s="196"/>
      <c r="D5" s="197"/>
      <c r="E5" s="197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214" t="s">
        <v>121</v>
      </c>
      <c r="C7" s="214"/>
      <c r="D7" s="191"/>
      <c r="E7" s="191"/>
      <c r="F7" s="13"/>
      <c r="G7" s="113" t="s">
        <v>122</v>
      </c>
      <c r="H7" s="113"/>
      <c r="I7" s="113"/>
      <c r="J7" s="13"/>
    </row>
    <row r="8" spans="2:10" ht="15" customHeight="1" x14ac:dyDescent="0.25">
      <c r="B8" s="214" t="s">
        <v>123</v>
      </c>
      <c r="C8" s="214"/>
      <c r="D8" s="191"/>
      <c r="E8" s="191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173" priority="12" stopIfTrue="1" operator="equal">
      <formula>"Inadequate"</formula>
    </cfRule>
    <cfRule type="cellIs" dxfId="172" priority="13" stopIfTrue="1" operator="equal">
      <formula>"Adequate"</formula>
    </cfRule>
    <cfRule type="cellIs" dxfId="171" priority="14" stopIfTrue="1" operator="equal">
      <formula>"Exemplary"</formula>
    </cfRule>
    <cfRule type="cellIs" dxfId="170" priority="15" stopIfTrue="1" operator="equal">
      <formula>"Poor"</formula>
    </cfRule>
  </conditionalFormatting>
  <conditionalFormatting sqref="E52:F52">
    <cfRule type="cellIs" dxfId="169" priority="16" stopIfTrue="1" operator="equal">
      <formula>"Inadequate"</formula>
    </cfRule>
    <cfRule type="cellIs" dxfId="168" priority="17" stopIfTrue="1" operator="equal">
      <formula>"Adequate"</formula>
    </cfRule>
    <cfRule type="cellIs" dxfId="167" priority="18" stopIfTrue="1" operator="equal">
      <formula>"Exemplary"</formula>
    </cfRule>
    <cfRule type="cellIs" dxfId="166" priority="19" stopIfTrue="1" operator="equal">
      <formula>"Poor"</formula>
    </cfRule>
  </conditionalFormatting>
  <conditionalFormatting sqref="G52:I52">
    <cfRule type="cellIs" dxfId="165" priority="8" stopIfTrue="1" operator="equal">
      <formula>"Inadequate"</formula>
    </cfRule>
    <cfRule type="cellIs" dxfId="164" priority="9" stopIfTrue="1" operator="equal">
      <formula>"Adequate"</formula>
    </cfRule>
    <cfRule type="cellIs" dxfId="163" priority="10" stopIfTrue="1" operator="equal">
      <formula>"Exemplary"</formula>
    </cfRule>
    <cfRule type="cellIs" dxfId="162" priority="11" stopIfTrue="1" operator="equal">
      <formula>"Poor"</formula>
    </cfRule>
  </conditionalFormatting>
  <conditionalFormatting sqref="E57:H59">
    <cfRule type="containsErrors" dxfId="161" priority="7" stopIfTrue="1">
      <formula>ISERROR(E57)</formula>
    </cfRule>
  </conditionalFormatting>
  <conditionalFormatting sqref="I57:I59">
    <cfRule type="containsErrors" dxfId="160" priority="6" stopIfTrue="1">
      <formula>ISERROR(I57)</formula>
    </cfRule>
  </conditionalFormatting>
  <conditionalFormatting sqref="E61:H61">
    <cfRule type="containsErrors" dxfId="159" priority="2" stopIfTrue="1">
      <formula>ISERROR(E61)</formula>
    </cfRule>
  </conditionalFormatting>
  <conditionalFormatting sqref="E62:H62">
    <cfRule type="containsErrors" dxfId="158" priority="5" stopIfTrue="1">
      <formula>ISERROR(E62)</formula>
    </cfRule>
  </conditionalFormatting>
  <conditionalFormatting sqref="I61:I62">
    <cfRule type="containsErrors" dxfId="157" priority="4" stopIfTrue="1">
      <formula>ISERROR(I61)</formula>
    </cfRule>
  </conditionalFormatting>
  <conditionalFormatting sqref="E60:H60">
    <cfRule type="containsErrors" dxfId="156" priority="3" stopIfTrue="1">
      <formula>ISERROR(E60)</formula>
    </cfRule>
  </conditionalFormatting>
  <conditionalFormatting sqref="I57:I60">
    <cfRule type="containsErrors" dxfId="155" priority="1" stopIfTrue="1">
      <formula>ISERROR(I57)</formula>
    </cfRule>
  </conditionalFormatting>
  <dataValidations count="1">
    <dataValidation type="list" allowBlank="1" showInputMessage="1" showErrorMessage="1" sqref="E12:J51" xr:uid="{00000000-0002-0000-10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22529" r:id="rId4" name="CommandButton1"/>
      </mc:Fallback>
    </mc:AlternateContent>
    <mc:AlternateContent xmlns:mc="http://schemas.openxmlformats.org/markup-compatibility/2006">
      <mc:Choice Requires="x14">
        <control shapeId="22530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2530" r:id="rId6" name="CommandButton2"/>
      </mc:Fallback>
    </mc:AlternateContent>
    <mc:AlternateContent xmlns:mc="http://schemas.openxmlformats.org/markup-compatibility/2006">
      <mc:Choice Requires="x14">
        <control shapeId="22531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2531" r:id="rId8" name="CommandButton3"/>
      </mc:Fallback>
    </mc:AlternateContent>
    <mc:AlternateContent xmlns:mc="http://schemas.openxmlformats.org/markup-compatibility/2006">
      <mc:Choice Requires="x14">
        <control shapeId="22532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314325</xdr:rowOff>
              </from>
              <to>
                <xdr:col>12</xdr:col>
                <xdr:colOff>685800</xdr:colOff>
                <xdr:row>10</xdr:row>
                <xdr:rowOff>828675</xdr:rowOff>
              </to>
            </anchor>
          </controlPr>
        </control>
      </mc:Choice>
      <mc:Fallback>
        <control shapeId="22532" r:id="rId10" name="CommandButton4"/>
      </mc:Fallback>
    </mc:AlternateContent>
    <mc:AlternateContent xmlns:mc="http://schemas.openxmlformats.org/markup-compatibility/2006">
      <mc:Choice Requires="x14">
        <control shapeId="22534" r:id="rId12" name="CommandButton5">
          <controlPr defaultSize="0" autoLine="0" r:id="rId13">
            <anchor moveWithCells="1">
              <from>
                <xdr:col>10</xdr:col>
                <xdr:colOff>390525</xdr:colOff>
                <xdr:row>8</xdr:row>
                <xdr:rowOff>76200</xdr:rowOff>
              </from>
              <to>
                <xdr:col>12</xdr:col>
                <xdr:colOff>666750</xdr:colOff>
                <xdr:row>10</xdr:row>
                <xdr:rowOff>219075</xdr:rowOff>
              </to>
            </anchor>
          </controlPr>
        </control>
      </mc:Choice>
      <mc:Fallback>
        <control shapeId="22534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>
    <tabColor theme="5" tint="0.39997558519241921"/>
  </sheetPr>
  <dimension ref="B1:J87"/>
  <sheetViews>
    <sheetView showGridLines="0" zoomScale="70" zoomScaleNormal="70" workbookViewId="0">
      <selection activeCell="B2" sqref="B2:J2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7" t="str">
        <f>+'RUBRIC SO#'!A2&amp;":"&amp;" "&amp;'RUBRIC SO#'!B2</f>
        <v>RA1:  La capacidad de operar los procesos de importación y exportación de acuerdo a la normatividad vigente.</v>
      </c>
      <c r="C2" s="177"/>
      <c r="D2" s="177"/>
      <c r="E2" s="177"/>
      <c r="F2" s="177"/>
      <c r="G2" s="177"/>
      <c r="H2" s="177"/>
      <c r="I2" s="177"/>
      <c r="J2" s="17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ht="18.75" x14ac:dyDescent="0.25">
      <c r="B4" s="182" t="s">
        <v>116</v>
      </c>
      <c r="C4" s="182"/>
      <c r="D4" s="183" t="s">
        <v>117</v>
      </c>
      <c r="E4" s="184" t="s">
        <v>118</v>
      </c>
      <c r="F4" s="13"/>
      <c r="G4" s="13"/>
      <c r="H4" s="13"/>
      <c r="I4" s="13"/>
      <c r="J4" s="13"/>
    </row>
    <row r="5" spans="2:10" ht="24.75" customHeight="1" x14ac:dyDescent="0.25">
      <c r="B5" s="211"/>
      <c r="C5" s="212"/>
      <c r="D5" s="213"/>
      <c r="E5" s="213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209" t="s">
        <v>121</v>
      </c>
      <c r="C7" s="209"/>
      <c r="D7" s="210"/>
      <c r="E7" s="210"/>
      <c r="F7" s="13"/>
      <c r="G7" s="113" t="s">
        <v>122</v>
      </c>
      <c r="H7" s="113"/>
      <c r="I7" s="113"/>
      <c r="J7" s="13"/>
    </row>
    <row r="8" spans="2:10" ht="15" customHeight="1" x14ac:dyDescent="0.25">
      <c r="B8" s="209" t="s">
        <v>123</v>
      </c>
      <c r="C8" s="209"/>
      <c r="D8" s="210"/>
      <c r="E8" s="210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154" priority="12" stopIfTrue="1" operator="equal">
      <formula>"Inadequate"</formula>
    </cfRule>
    <cfRule type="cellIs" dxfId="153" priority="13" stopIfTrue="1" operator="equal">
      <formula>"Adequate"</formula>
    </cfRule>
    <cfRule type="cellIs" dxfId="152" priority="14" stopIfTrue="1" operator="equal">
      <formula>"Exemplary"</formula>
    </cfRule>
    <cfRule type="cellIs" dxfId="151" priority="15" stopIfTrue="1" operator="equal">
      <formula>"Poor"</formula>
    </cfRule>
  </conditionalFormatting>
  <conditionalFormatting sqref="E52:F52">
    <cfRule type="cellIs" dxfId="150" priority="16" stopIfTrue="1" operator="equal">
      <formula>"Inadequate"</formula>
    </cfRule>
    <cfRule type="cellIs" dxfId="149" priority="17" stopIfTrue="1" operator="equal">
      <formula>"Adequate"</formula>
    </cfRule>
    <cfRule type="cellIs" dxfId="148" priority="18" stopIfTrue="1" operator="equal">
      <formula>"Exemplary"</formula>
    </cfRule>
    <cfRule type="cellIs" dxfId="147" priority="19" stopIfTrue="1" operator="equal">
      <formula>"Poor"</formula>
    </cfRule>
  </conditionalFormatting>
  <conditionalFormatting sqref="G52:I52">
    <cfRule type="cellIs" dxfId="146" priority="8" stopIfTrue="1" operator="equal">
      <formula>"Inadequate"</formula>
    </cfRule>
    <cfRule type="cellIs" dxfId="145" priority="9" stopIfTrue="1" operator="equal">
      <formula>"Adequate"</formula>
    </cfRule>
    <cfRule type="cellIs" dxfId="144" priority="10" stopIfTrue="1" operator="equal">
      <formula>"Exemplary"</formula>
    </cfRule>
    <cfRule type="cellIs" dxfId="143" priority="11" stopIfTrue="1" operator="equal">
      <formula>"Poor"</formula>
    </cfRule>
  </conditionalFormatting>
  <conditionalFormatting sqref="E57:H59">
    <cfRule type="containsErrors" dxfId="142" priority="7" stopIfTrue="1">
      <formula>ISERROR(E57)</formula>
    </cfRule>
  </conditionalFormatting>
  <conditionalFormatting sqref="I57:I59">
    <cfRule type="containsErrors" dxfId="141" priority="6" stopIfTrue="1">
      <formula>ISERROR(I57)</formula>
    </cfRule>
  </conditionalFormatting>
  <conditionalFormatting sqref="E61:H61">
    <cfRule type="containsErrors" dxfId="140" priority="2" stopIfTrue="1">
      <formula>ISERROR(E61)</formula>
    </cfRule>
  </conditionalFormatting>
  <conditionalFormatting sqref="E62:H62">
    <cfRule type="containsErrors" dxfId="139" priority="5" stopIfTrue="1">
      <formula>ISERROR(E62)</formula>
    </cfRule>
  </conditionalFormatting>
  <conditionalFormatting sqref="I61:I62">
    <cfRule type="containsErrors" dxfId="138" priority="4" stopIfTrue="1">
      <formula>ISERROR(I61)</formula>
    </cfRule>
  </conditionalFormatting>
  <conditionalFormatting sqref="E60:H60">
    <cfRule type="containsErrors" dxfId="137" priority="3" stopIfTrue="1">
      <formula>ISERROR(E60)</formula>
    </cfRule>
  </conditionalFormatting>
  <conditionalFormatting sqref="I57:I60">
    <cfRule type="containsErrors" dxfId="136" priority="1" stopIfTrue="1">
      <formula>ISERROR(I57)</formula>
    </cfRule>
  </conditionalFormatting>
  <dataValidations count="1">
    <dataValidation type="list" allowBlank="1" showInputMessage="1" showErrorMessage="1" sqref="E12:J51" xr:uid="{00000000-0002-0000-11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23553" r:id="rId4" name="CommandButton1"/>
      </mc:Fallback>
    </mc:AlternateContent>
    <mc:AlternateContent xmlns:mc="http://schemas.openxmlformats.org/markup-compatibility/2006">
      <mc:Choice Requires="x14">
        <control shapeId="23554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4</xdr:row>
                <xdr:rowOff>285750</xdr:rowOff>
              </to>
            </anchor>
          </controlPr>
        </control>
      </mc:Choice>
      <mc:Fallback>
        <control shapeId="23554" r:id="rId6" name="CommandButton2"/>
      </mc:Fallback>
    </mc:AlternateContent>
    <mc:AlternateContent xmlns:mc="http://schemas.openxmlformats.org/markup-compatibility/2006">
      <mc:Choice Requires="x14">
        <control shapeId="23555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3555" r:id="rId8" name="CommandButton3"/>
      </mc:Fallback>
    </mc:AlternateContent>
    <mc:AlternateContent xmlns:mc="http://schemas.openxmlformats.org/markup-compatibility/2006">
      <mc:Choice Requires="x14">
        <control shapeId="23556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314325</xdr:rowOff>
              </from>
              <to>
                <xdr:col>12</xdr:col>
                <xdr:colOff>685800</xdr:colOff>
                <xdr:row>10</xdr:row>
                <xdr:rowOff>828675</xdr:rowOff>
              </to>
            </anchor>
          </controlPr>
        </control>
      </mc:Choice>
      <mc:Fallback>
        <control shapeId="23556" r:id="rId10" name="CommandButton4"/>
      </mc:Fallback>
    </mc:AlternateContent>
    <mc:AlternateContent xmlns:mc="http://schemas.openxmlformats.org/markup-compatibility/2006">
      <mc:Choice Requires="x14">
        <control shapeId="23558" r:id="rId12" name="CommandButton5">
          <controlPr defaultSize="0" autoLine="0" r:id="rId13">
            <anchor moveWithCells="1">
              <from>
                <xdr:col>10</xdr:col>
                <xdr:colOff>390525</xdr:colOff>
                <xdr:row>8</xdr:row>
                <xdr:rowOff>66675</xdr:rowOff>
              </from>
              <to>
                <xdr:col>12</xdr:col>
                <xdr:colOff>666750</xdr:colOff>
                <xdr:row>10</xdr:row>
                <xdr:rowOff>200025</xdr:rowOff>
              </to>
            </anchor>
          </controlPr>
        </control>
      </mc:Choice>
      <mc:Fallback>
        <control shapeId="23558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1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5" tint="0.39997558519241921"/>
  </sheetPr>
  <dimension ref="B1:J87"/>
  <sheetViews>
    <sheetView showGridLines="0" zoomScale="70" zoomScaleNormal="70" workbookViewId="0">
      <selection activeCell="E11" sqref="E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8" t="str">
        <f>+'RUBRIC SO#'!A2&amp;":"&amp;" "&amp;'RUBRIC SO#'!B2</f>
        <v>RA1:  La capacidad de operar los procesos de importación y exportación de acuerdo a la normatividad vigente.</v>
      </c>
      <c r="C2" s="178"/>
      <c r="D2" s="178"/>
      <c r="E2" s="178"/>
      <c r="F2" s="178"/>
      <c r="G2" s="178"/>
      <c r="H2" s="178"/>
      <c r="I2" s="178"/>
      <c r="J2" s="178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ht="21" x14ac:dyDescent="0.25">
      <c r="B4" s="203" t="s">
        <v>116</v>
      </c>
      <c r="C4" s="203"/>
      <c r="D4" s="204" t="s">
        <v>117</v>
      </c>
      <c r="E4" s="205" t="s">
        <v>118</v>
      </c>
      <c r="F4" s="13"/>
      <c r="G4" s="13"/>
      <c r="H4" s="13"/>
      <c r="I4" s="13"/>
      <c r="J4" s="13"/>
    </row>
    <row r="5" spans="2:10" ht="24.75" customHeight="1" x14ac:dyDescent="0.25">
      <c r="B5" s="206"/>
      <c r="C5" s="207"/>
      <c r="D5" s="208"/>
      <c r="E5" s="208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203" t="s">
        <v>121</v>
      </c>
      <c r="C7" s="203"/>
      <c r="D7" s="206"/>
      <c r="E7" s="206"/>
      <c r="F7" s="13"/>
      <c r="G7" s="113" t="s">
        <v>122</v>
      </c>
      <c r="H7" s="113"/>
      <c r="I7" s="113"/>
      <c r="J7" s="13"/>
    </row>
    <row r="8" spans="2:10" ht="15" customHeight="1" x14ac:dyDescent="0.25">
      <c r="B8" s="203" t="s">
        <v>123</v>
      </c>
      <c r="C8" s="203"/>
      <c r="D8" s="206"/>
      <c r="E8" s="206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135" priority="12" stopIfTrue="1" operator="equal">
      <formula>"Inadequate"</formula>
    </cfRule>
    <cfRule type="cellIs" dxfId="134" priority="13" stopIfTrue="1" operator="equal">
      <formula>"Adequate"</formula>
    </cfRule>
    <cfRule type="cellIs" dxfId="133" priority="14" stopIfTrue="1" operator="equal">
      <formula>"Exemplary"</formula>
    </cfRule>
    <cfRule type="cellIs" dxfId="132" priority="15" stopIfTrue="1" operator="equal">
      <formula>"Poor"</formula>
    </cfRule>
  </conditionalFormatting>
  <conditionalFormatting sqref="E52:F52">
    <cfRule type="cellIs" dxfId="131" priority="16" stopIfTrue="1" operator="equal">
      <formula>"Inadequate"</formula>
    </cfRule>
    <cfRule type="cellIs" dxfId="130" priority="17" stopIfTrue="1" operator="equal">
      <formula>"Adequate"</formula>
    </cfRule>
    <cfRule type="cellIs" dxfId="129" priority="18" stopIfTrue="1" operator="equal">
      <formula>"Exemplary"</formula>
    </cfRule>
    <cfRule type="cellIs" dxfId="128" priority="19" stopIfTrue="1" operator="equal">
      <formula>"Poor"</formula>
    </cfRule>
  </conditionalFormatting>
  <conditionalFormatting sqref="G52:I52">
    <cfRule type="cellIs" dxfId="127" priority="8" stopIfTrue="1" operator="equal">
      <formula>"Inadequate"</formula>
    </cfRule>
    <cfRule type="cellIs" dxfId="126" priority="9" stopIfTrue="1" operator="equal">
      <formula>"Adequate"</formula>
    </cfRule>
    <cfRule type="cellIs" dxfId="125" priority="10" stopIfTrue="1" operator="equal">
      <formula>"Exemplary"</formula>
    </cfRule>
    <cfRule type="cellIs" dxfId="124" priority="11" stopIfTrue="1" operator="equal">
      <formula>"Poor"</formula>
    </cfRule>
  </conditionalFormatting>
  <conditionalFormatting sqref="E57:H59">
    <cfRule type="containsErrors" dxfId="123" priority="7" stopIfTrue="1">
      <formula>ISERROR(E57)</formula>
    </cfRule>
  </conditionalFormatting>
  <conditionalFormatting sqref="I57:I59">
    <cfRule type="containsErrors" dxfId="122" priority="6" stopIfTrue="1">
      <formula>ISERROR(I57)</formula>
    </cfRule>
  </conditionalFormatting>
  <conditionalFormatting sqref="E61:H61">
    <cfRule type="containsErrors" dxfId="121" priority="2" stopIfTrue="1">
      <formula>ISERROR(E61)</formula>
    </cfRule>
  </conditionalFormatting>
  <conditionalFormatting sqref="E62:H62">
    <cfRule type="containsErrors" dxfId="120" priority="5" stopIfTrue="1">
      <formula>ISERROR(E62)</formula>
    </cfRule>
  </conditionalFormatting>
  <conditionalFormatting sqref="I61:I62">
    <cfRule type="containsErrors" dxfId="119" priority="4" stopIfTrue="1">
      <formula>ISERROR(I61)</formula>
    </cfRule>
  </conditionalFormatting>
  <conditionalFormatting sqref="E60:H60">
    <cfRule type="containsErrors" dxfId="118" priority="3" stopIfTrue="1">
      <formula>ISERROR(E60)</formula>
    </cfRule>
  </conditionalFormatting>
  <conditionalFormatting sqref="I57:I60">
    <cfRule type="containsErrors" dxfId="117" priority="1" stopIfTrue="1">
      <formula>ISERROR(I57)</formula>
    </cfRule>
  </conditionalFormatting>
  <dataValidations count="1">
    <dataValidation type="list" allowBlank="1" showInputMessage="1" showErrorMessage="1" sqref="E12:J51" xr:uid="{00000000-0002-0000-12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24577" r:id="rId4" name="CommandButton1"/>
      </mc:Fallback>
    </mc:AlternateContent>
    <mc:AlternateContent xmlns:mc="http://schemas.openxmlformats.org/markup-compatibility/2006">
      <mc:Choice Requires="x14">
        <control shapeId="24578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4</xdr:row>
                <xdr:rowOff>257175</xdr:rowOff>
              </to>
            </anchor>
          </controlPr>
        </control>
      </mc:Choice>
      <mc:Fallback>
        <control shapeId="24578" r:id="rId6" name="CommandButton2"/>
      </mc:Fallback>
    </mc:AlternateContent>
    <mc:AlternateContent xmlns:mc="http://schemas.openxmlformats.org/markup-compatibility/2006">
      <mc:Choice Requires="x14">
        <control shapeId="24579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4579" r:id="rId8" name="CommandButton3"/>
      </mc:Fallback>
    </mc:AlternateContent>
    <mc:AlternateContent xmlns:mc="http://schemas.openxmlformats.org/markup-compatibility/2006">
      <mc:Choice Requires="x14">
        <control shapeId="24580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304800</xdr:rowOff>
              </from>
              <to>
                <xdr:col>12</xdr:col>
                <xdr:colOff>685800</xdr:colOff>
                <xdr:row>10</xdr:row>
                <xdr:rowOff>809625</xdr:rowOff>
              </to>
            </anchor>
          </controlPr>
        </control>
      </mc:Choice>
      <mc:Fallback>
        <control shapeId="24580" r:id="rId10" name="CommandButton4"/>
      </mc:Fallback>
    </mc:AlternateContent>
    <mc:AlternateContent xmlns:mc="http://schemas.openxmlformats.org/markup-compatibility/2006">
      <mc:Choice Requires="x14">
        <control shapeId="24583" r:id="rId12" name="CommandButton5">
          <controlPr defaultSize="0" autoLine="0" r:id="rId13">
            <anchor moveWithCells="1">
              <from>
                <xdr:col>10</xdr:col>
                <xdr:colOff>381000</xdr:colOff>
                <xdr:row>8</xdr:row>
                <xdr:rowOff>95250</xdr:rowOff>
              </from>
              <to>
                <xdr:col>12</xdr:col>
                <xdr:colOff>647700</xdr:colOff>
                <xdr:row>10</xdr:row>
                <xdr:rowOff>219075</xdr:rowOff>
              </to>
            </anchor>
          </controlPr>
        </control>
      </mc:Choice>
      <mc:Fallback>
        <control shapeId="24583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2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>
    <tabColor theme="5" tint="0.39997558519241921"/>
  </sheetPr>
  <dimension ref="B1:J87"/>
  <sheetViews>
    <sheetView showGridLines="0" zoomScale="70" zoomScaleNormal="70" workbookViewId="0">
      <selection activeCell="E11" sqref="E11: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7" t="str">
        <f>+'RUBRIC SO#'!A2&amp;":"&amp;" "&amp;'RUBRIC SO#'!B2</f>
        <v>RA1:  La capacidad de operar los procesos de importación y exportación de acuerdo a la normatividad vigente.</v>
      </c>
      <c r="C2" s="177"/>
      <c r="D2" s="177"/>
      <c r="E2" s="177"/>
      <c r="F2" s="177"/>
      <c r="G2" s="177"/>
      <c r="H2" s="177"/>
      <c r="I2" s="177"/>
      <c r="J2" s="17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92" t="s">
        <v>116</v>
      </c>
      <c r="C4" s="192"/>
      <c r="D4" s="194" t="s">
        <v>117</v>
      </c>
      <c r="E4" s="195" t="s">
        <v>118</v>
      </c>
      <c r="F4" s="13"/>
      <c r="G4" s="13"/>
      <c r="H4" s="13"/>
      <c r="I4" s="13"/>
      <c r="J4" s="13"/>
    </row>
    <row r="5" spans="2:10" ht="24.75" customHeight="1" x14ac:dyDescent="0.25">
      <c r="B5" s="193"/>
      <c r="C5" s="196"/>
      <c r="D5" s="197"/>
      <c r="E5" s="197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192" t="s">
        <v>121</v>
      </c>
      <c r="C7" s="192"/>
      <c r="D7" s="193"/>
      <c r="E7" s="193"/>
      <c r="F7" s="13"/>
      <c r="G7" s="113" t="s">
        <v>122</v>
      </c>
      <c r="H7" s="113"/>
      <c r="I7" s="113"/>
      <c r="J7" s="13"/>
    </row>
    <row r="8" spans="2:10" ht="15" customHeight="1" x14ac:dyDescent="0.25">
      <c r="B8" s="192" t="s">
        <v>123</v>
      </c>
      <c r="C8" s="192"/>
      <c r="D8" s="193"/>
      <c r="E8" s="193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 t="s">
        <v>129</v>
      </c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116" priority="12" stopIfTrue="1" operator="equal">
      <formula>"Inadequate"</formula>
    </cfRule>
    <cfRule type="cellIs" dxfId="115" priority="13" stopIfTrue="1" operator="equal">
      <formula>"Adequate"</formula>
    </cfRule>
    <cfRule type="cellIs" dxfId="114" priority="14" stopIfTrue="1" operator="equal">
      <formula>"Exemplary"</formula>
    </cfRule>
    <cfRule type="cellIs" dxfId="113" priority="15" stopIfTrue="1" operator="equal">
      <formula>"Poor"</formula>
    </cfRule>
  </conditionalFormatting>
  <conditionalFormatting sqref="E52:F52">
    <cfRule type="cellIs" dxfId="112" priority="16" stopIfTrue="1" operator="equal">
      <formula>"Inadequate"</formula>
    </cfRule>
    <cfRule type="cellIs" dxfId="111" priority="17" stopIfTrue="1" operator="equal">
      <formula>"Adequate"</formula>
    </cfRule>
    <cfRule type="cellIs" dxfId="110" priority="18" stopIfTrue="1" operator="equal">
      <formula>"Exemplary"</formula>
    </cfRule>
    <cfRule type="cellIs" dxfId="109" priority="19" stopIfTrue="1" operator="equal">
      <formula>"Poor"</formula>
    </cfRule>
  </conditionalFormatting>
  <conditionalFormatting sqref="G52:I52">
    <cfRule type="cellIs" dxfId="108" priority="8" stopIfTrue="1" operator="equal">
      <formula>"Inadequate"</formula>
    </cfRule>
    <cfRule type="cellIs" dxfId="107" priority="9" stopIfTrue="1" operator="equal">
      <formula>"Adequate"</formula>
    </cfRule>
    <cfRule type="cellIs" dxfId="106" priority="10" stopIfTrue="1" operator="equal">
      <formula>"Exemplary"</formula>
    </cfRule>
    <cfRule type="cellIs" dxfId="105" priority="11" stopIfTrue="1" operator="equal">
      <formula>"Poor"</formula>
    </cfRule>
  </conditionalFormatting>
  <conditionalFormatting sqref="E57:H59">
    <cfRule type="containsErrors" dxfId="104" priority="7" stopIfTrue="1">
      <formula>ISERROR(E57)</formula>
    </cfRule>
  </conditionalFormatting>
  <conditionalFormatting sqref="I57:I59">
    <cfRule type="containsErrors" dxfId="103" priority="6" stopIfTrue="1">
      <formula>ISERROR(I57)</formula>
    </cfRule>
  </conditionalFormatting>
  <conditionalFormatting sqref="E61:H61">
    <cfRule type="containsErrors" dxfId="102" priority="2" stopIfTrue="1">
      <formula>ISERROR(E61)</formula>
    </cfRule>
  </conditionalFormatting>
  <conditionalFormatting sqref="E62:H62">
    <cfRule type="containsErrors" dxfId="101" priority="5" stopIfTrue="1">
      <formula>ISERROR(E62)</formula>
    </cfRule>
  </conditionalFormatting>
  <conditionalFormatting sqref="I61:I62">
    <cfRule type="containsErrors" dxfId="100" priority="4" stopIfTrue="1">
      <formula>ISERROR(I61)</formula>
    </cfRule>
  </conditionalFormatting>
  <conditionalFormatting sqref="E60:H60">
    <cfRule type="containsErrors" dxfId="99" priority="3" stopIfTrue="1">
      <formula>ISERROR(E60)</formula>
    </cfRule>
  </conditionalFormatting>
  <conditionalFormatting sqref="I57:I60">
    <cfRule type="containsErrors" dxfId="98" priority="1" stopIfTrue="1">
      <formula>ISERROR(I57)</formula>
    </cfRule>
  </conditionalFormatting>
  <dataValidations count="1">
    <dataValidation type="list" allowBlank="1" showInputMessage="1" showErrorMessage="1" sqref="E12:J51" xr:uid="{00000000-0002-0000-13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5602" r:id="rId6" name="CommandButton2"/>
      </mc:Fallback>
    </mc:AlternateContent>
    <mc:AlternateContent xmlns:mc="http://schemas.openxmlformats.org/markup-compatibility/2006">
      <mc:Choice Requires="x14">
        <control shapeId="25603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5603" r:id="rId8" name="CommandButton3"/>
      </mc:Fallback>
    </mc:AlternateContent>
    <mc:AlternateContent xmlns:mc="http://schemas.openxmlformats.org/markup-compatibility/2006">
      <mc:Choice Requires="x14">
        <control shapeId="25604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314325</xdr:rowOff>
              </from>
              <to>
                <xdr:col>12</xdr:col>
                <xdr:colOff>685800</xdr:colOff>
                <xdr:row>10</xdr:row>
                <xdr:rowOff>828675</xdr:rowOff>
              </to>
            </anchor>
          </controlPr>
        </control>
      </mc:Choice>
      <mc:Fallback>
        <control shapeId="25604" r:id="rId10" name="CommandButton4"/>
      </mc:Fallback>
    </mc:AlternateContent>
    <mc:AlternateContent xmlns:mc="http://schemas.openxmlformats.org/markup-compatibility/2006">
      <mc:Choice Requires="x14">
        <control shapeId="25606" r:id="rId12" name="CommandButton5">
          <controlPr defaultSize="0" autoLine="0" r:id="rId13">
            <anchor moveWithCells="1">
              <from>
                <xdr:col>10</xdr:col>
                <xdr:colOff>419100</xdr:colOff>
                <xdr:row>8</xdr:row>
                <xdr:rowOff>95250</xdr:rowOff>
              </from>
              <to>
                <xdr:col>12</xdr:col>
                <xdr:colOff>685800</xdr:colOff>
                <xdr:row>10</xdr:row>
                <xdr:rowOff>209550</xdr:rowOff>
              </to>
            </anchor>
          </controlPr>
        </control>
      </mc:Choice>
      <mc:Fallback>
        <control shapeId="25606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3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>
    <tabColor theme="5" tint="0.39997558519241921"/>
  </sheetPr>
  <dimension ref="B1:J87"/>
  <sheetViews>
    <sheetView showGridLines="0" zoomScale="70" zoomScaleNormal="70" workbookViewId="0">
      <selection activeCell="E11" sqref="E11:H11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38" t="str">
        <f>+'RUBRIC SO#'!A2&amp;":"&amp;" "&amp;'RUBRIC SO#'!B2</f>
        <v>RA1:  La capacidad de operar los procesos de importación y exportación de acuerdo a la normatividad vigente.</v>
      </c>
      <c r="C2" s="138"/>
      <c r="D2" s="138"/>
      <c r="E2" s="138"/>
      <c r="F2" s="138"/>
      <c r="G2" s="138"/>
      <c r="H2" s="138"/>
      <c r="I2" s="138"/>
      <c r="J2" s="138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92" t="s">
        <v>116</v>
      </c>
      <c r="C4" s="192"/>
      <c r="D4" s="194" t="s">
        <v>117</v>
      </c>
      <c r="E4" s="195" t="s">
        <v>118</v>
      </c>
      <c r="F4" s="13"/>
      <c r="G4" s="13"/>
      <c r="H4" s="13"/>
      <c r="I4" s="13"/>
      <c r="J4" s="13"/>
    </row>
    <row r="5" spans="2:10" ht="24.75" customHeight="1" x14ac:dyDescent="0.25">
      <c r="B5" s="193"/>
      <c r="C5" s="196"/>
      <c r="D5" s="197"/>
      <c r="E5" s="197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192" t="s">
        <v>121</v>
      </c>
      <c r="C7" s="192"/>
      <c r="D7" s="193"/>
      <c r="E7" s="193"/>
      <c r="F7" s="13"/>
      <c r="G7" s="113" t="s">
        <v>122</v>
      </c>
      <c r="H7" s="113"/>
      <c r="I7" s="113"/>
      <c r="J7" s="13"/>
    </row>
    <row r="8" spans="2:10" ht="15" customHeight="1" x14ac:dyDescent="0.25">
      <c r="B8" s="192" t="s">
        <v>123</v>
      </c>
      <c r="C8" s="192"/>
      <c r="D8" s="193"/>
      <c r="E8" s="193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/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 t="s">
        <v>129</v>
      </c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97" priority="12" stopIfTrue="1" operator="equal">
      <formula>"Inadequate"</formula>
    </cfRule>
    <cfRule type="cellIs" dxfId="96" priority="13" stopIfTrue="1" operator="equal">
      <formula>"Adequate"</formula>
    </cfRule>
    <cfRule type="cellIs" dxfId="95" priority="14" stopIfTrue="1" operator="equal">
      <formula>"Exemplary"</formula>
    </cfRule>
    <cfRule type="cellIs" dxfId="94" priority="15" stopIfTrue="1" operator="equal">
      <formula>"Poor"</formula>
    </cfRule>
  </conditionalFormatting>
  <conditionalFormatting sqref="E52:F52">
    <cfRule type="cellIs" dxfId="93" priority="16" stopIfTrue="1" operator="equal">
      <formula>"Inadequate"</formula>
    </cfRule>
    <cfRule type="cellIs" dxfId="92" priority="17" stopIfTrue="1" operator="equal">
      <formula>"Adequate"</formula>
    </cfRule>
    <cfRule type="cellIs" dxfId="91" priority="18" stopIfTrue="1" operator="equal">
      <formula>"Exemplary"</formula>
    </cfRule>
    <cfRule type="cellIs" dxfId="90" priority="19" stopIfTrue="1" operator="equal">
      <formula>"Poor"</formula>
    </cfRule>
  </conditionalFormatting>
  <conditionalFormatting sqref="G52:I52">
    <cfRule type="cellIs" dxfId="89" priority="8" stopIfTrue="1" operator="equal">
      <formula>"Inadequate"</formula>
    </cfRule>
    <cfRule type="cellIs" dxfId="88" priority="9" stopIfTrue="1" operator="equal">
      <formula>"Adequate"</formula>
    </cfRule>
    <cfRule type="cellIs" dxfId="87" priority="10" stopIfTrue="1" operator="equal">
      <formula>"Exemplary"</formula>
    </cfRule>
    <cfRule type="cellIs" dxfId="86" priority="11" stopIfTrue="1" operator="equal">
      <formula>"Poor"</formula>
    </cfRule>
  </conditionalFormatting>
  <conditionalFormatting sqref="E57:H59">
    <cfRule type="containsErrors" dxfId="85" priority="7" stopIfTrue="1">
      <formula>ISERROR(E57)</formula>
    </cfRule>
  </conditionalFormatting>
  <conditionalFormatting sqref="I57:I59">
    <cfRule type="containsErrors" dxfId="84" priority="6" stopIfTrue="1">
      <formula>ISERROR(I57)</formula>
    </cfRule>
  </conditionalFormatting>
  <conditionalFormatting sqref="E61:H61">
    <cfRule type="containsErrors" dxfId="83" priority="2" stopIfTrue="1">
      <formula>ISERROR(E61)</formula>
    </cfRule>
  </conditionalFormatting>
  <conditionalFormatting sqref="E62:H62">
    <cfRule type="containsErrors" dxfId="82" priority="5" stopIfTrue="1">
      <formula>ISERROR(E62)</formula>
    </cfRule>
  </conditionalFormatting>
  <conditionalFormatting sqref="I61:I62">
    <cfRule type="containsErrors" dxfId="81" priority="4" stopIfTrue="1">
      <formula>ISERROR(I61)</formula>
    </cfRule>
  </conditionalFormatting>
  <conditionalFormatting sqref="E60:H60">
    <cfRule type="containsErrors" dxfId="80" priority="3" stopIfTrue="1">
      <formula>ISERROR(E60)</formula>
    </cfRule>
  </conditionalFormatting>
  <conditionalFormatting sqref="I57:I60">
    <cfRule type="containsErrors" dxfId="79" priority="1" stopIfTrue="1">
      <formula>ISERROR(I57)</formula>
    </cfRule>
  </conditionalFormatting>
  <dataValidations count="1">
    <dataValidation type="list" allowBlank="1" showInputMessage="1" showErrorMessage="1" sqref="E12:J51" xr:uid="{00000000-0002-0000-14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314325</xdr:rowOff>
              </from>
              <to>
                <xdr:col>12</xdr:col>
                <xdr:colOff>685800</xdr:colOff>
                <xdr:row>10</xdr:row>
                <xdr:rowOff>828675</xdr:rowOff>
              </to>
            </anchor>
          </controlPr>
        </control>
      </mc:Choice>
      <mc:Fallback>
        <control shapeId="26628" r:id="rId10" name="CommandButton4"/>
      </mc:Fallback>
    </mc:AlternateContent>
    <mc:AlternateContent xmlns:mc="http://schemas.openxmlformats.org/markup-compatibility/2006">
      <mc:Choice Requires="x14">
        <control shapeId="26630" r:id="rId12" name="CommandButton5">
          <controlPr defaultSize="0" autoLine="0" r:id="rId13">
            <anchor moveWithCells="1">
              <from>
                <xdr:col>10</xdr:col>
                <xdr:colOff>409575</xdr:colOff>
                <xdr:row>8</xdr:row>
                <xdr:rowOff>85725</xdr:rowOff>
              </from>
              <to>
                <xdr:col>12</xdr:col>
                <xdr:colOff>676275</xdr:colOff>
                <xdr:row>10</xdr:row>
                <xdr:rowOff>200025</xdr:rowOff>
              </to>
            </anchor>
          </controlPr>
        </control>
      </mc:Choice>
      <mc:Fallback>
        <control shapeId="26630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4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5" tint="0.39997558519241921"/>
  </sheetPr>
  <dimension ref="B1:J87"/>
  <sheetViews>
    <sheetView showGridLines="0" zoomScale="70" zoomScaleNormal="70" workbookViewId="0">
      <selection activeCell="B7" sqref="B7:E8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7" t="str">
        <f>+'RUBRIC SO#'!A2&amp;":"&amp;" "&amp;'RUBRIC SO#'!B2</f>
        <v>RA1:  La capacidad de operar los procesos de importación y exportación de acuerdo a la normatividad vigente.</v>
      </c>
      <c r="C2" s="177"/>
      <c r="D2" s="177"/>
      <c r="E2" s="177"/>
      <c r="F2" s="177"/>
      <c r="G2" s="177"/>
      <c r="H2" s="177"/>
      <c r="I2" s="177"/>
      <c r="J2" s="17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92" t="s">
        <v>116</v>
      </c>
      <c r="C4" s="192"/>
      <c r="D4" s="194" t="s">
        <v>117</v>
      </c>
      <c r="E4" s="195" t="s">
        <v>118</v>
      </c>
      <c r="F4" s="13"/>
      <c r="G4" s="13"/>
      <c r="H4" s="13"/>
      <c r="I4" s="13"/>
      <c r="J4" s="13"/>
    </row>
    <row r="5" spans="2:10" ht="24.75" customHeight="1" x14ac:dyDescent="0.25">
      <c r="B5" s="193"/>
      <c r="C5" s="196"/>
      <c r="D5" s="197"/>
      <c r="E5" s="197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192" t="s">
        <v>121</v>
      </c>
      <c r="C7" s="192"/>
      <c r="D7" s="193"/>
      <c r="E7" s="193"/>
      <c r="F7" s="13"/>
      <c r="G7" s="113" t="s">
        <v>122</v>
      </c>
      <c r="H7" s="113"/>
      <c r="I7" s="113"/>
      <c r="J7" s="13"/>
    </row>
    <row r="8" spans="2:10" ht="15" customHeight="1" x14ac:dyDescent="0.25">
      <c r="B8" s="192" t="s">
        <v>123</v>
      </c>
      <c r="C8" s="192"/>
      <c r="D8" s="193"/>
      <c r="E8" s="193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 t="s">
        <v>129</v>
      </c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 t="s">
        <v>129</v>
      </c>
      <c r="F14" s="97" t="s">
        <v>129</v>
      </c>
      <c r="G14" s="97" t="s">
        <v>129</v>
      </c>
      <c r="H14" s="97" t="s">
        <v>129</v>
      </c>
      <c r="I14" s="97" t="s">
        <v>129</v>
      </c>
      <c r="J14" s="97" t="s">
        <v>129</v>
      </c>
    </row>
    <row r="15" spans="2:10" x14ac:dyDescent="0.25">
      <c r="B15" s="84"/>
      <c r="C15" s="84"/>
      <c r="D15" s="85"/>
      <c r="E15" s="97"/>
      <c r="F15" s="97" t="s">
        <v>129</v>
      </c>
      <c r="G15" s="97" t="s">
        <v>129</v>
      </c>
      <c r="H15" s="97" t="s">
        <v>129</v>
      </c>
      <c r="I15" s="97" t="s">
        <v>129</v>
      </c>
      <c r="J15" s="97" t="s">
        <v>129</v>
      </c>
    </row>
    <row r="16" spans="2:10" x14ac:dyDescent="0.25">
      <c r="B16" s="84"/>
      <c r="C16" s="84"/>
      <c r="D16" s="85"/>
      <c r="E16" s="97"/>
      <c r="F16" s="97" t="s">
        <v>129</v>
      </c>
      <c r="G16" s="97" t="s">
        <v>129</v>
      </c>
      <c r="H16" s="97" t="s">
        <v>129</v>
      </c>
      <c r="I16" s="97" t="s">
        <v>129</v>
      </c>
      <c r="J16" s="97" t="s">
        <v>129</v>
      </c>
    </row>
    <row r="17" spans="2:10" x14ac:dyDescent="0.25">
      <c r="B17" s="84"/>
      <c r="C17" s="84"/>
      <c r="D17" s="85"/>
      <c r="E17" s="97" t="s">
        <v>129</v>
      </c>
      <c r="F17" s="97" t="s">
        <v>129</v>
      </c>
      <c r="G17" s="97" t="s">
        <v>129</v>
      </c>
      <c r="H17" s="97" t="s">
        <v>129</v>
      </c>
      <c r="I17" s="97" t="s">
        <v>129</v>
      </c>
      <c r="J17" s="97" t="s">
        <v>129</v>
      </c>
    </row>
    <row r="18" spans="2:10" x14ac:dyDescent="0.25">
      <c r="B18" s="84"/>
      <c r="C18" s="84"/>
      <c r="D18" s="85"/>
      <c r="E18" s="97" t="s">
        <v>129</v>
      </c>
      <c r="F18" s="97" t="s">
        <v>129</v>
      </c>
      <c r="G18" s="97" t="s">
        <v>129</v>
      </c>
      <c r="H18" s="97" t="s">
        <v>129</v>
      </c>
      <c r="I18" s="97" t="s">
        <v>129</v>
      </c>
      <c r="J18" s="97" t="s">
        <v>129</v>
      </c>
    </row>
    <row r="19" spans="2:10" x14ac:dyDescent="0.25">
      <c r="B19" s="84"/>
      <c r="C19" s="84"/>
      <c r="D19" s="85"/>
      <c r="E19" s="97" t="s">
        <v>129</v>
      </c>
      <c r="F19" s="97" t="s">
        <v>129</v>
      </c>
      <c r="G19" s="97" t="s">
        <v>129</v>
      </c>
      <c r="H19" s="97" t="s">
        <v>129</v>
      </c>
      <c r="I19" s="97" t="s">
        <v>129</v>
      </c>
      <c r="J19" s="97" t="s">
        <v>129</v>
      </c>
    </row>
    <row r="20" spans="2:10" x14ac:dyDescent="0.25">
      <c r="B20" s="84"/>
      <c r="C20" s="84"/>
      <c r="D20" s="85"/>
      <c r="E20" s="97" t="s">
        <v>129</v>
      </c>
      <c r="F20" s="97" t="s">
        <v>129</v>
      </c>
      <c r="G20" s="97" t="s">
        <v>129</v>
      </c>
      <c r="H20" s="97" t="s">
        <v>129</v>
      </c>
      <c r="I20" s="97" t="s">
        <v>129</v>
      </c>
      <c r="J20" s="97" t="s">
        <v>129</v>
      </c>
    </row>
    <row r="21" spans="2:10" x14ac:dyDescent="0.25">
      <c r="B21" s="84"/>
      <c r="C21" s="84"/>
      <c r="D21" s="85"/>
      <c r="E21" s="97" t="s">
        <v>129</v>
      </c>
      <c r="F21" s="97" t="s">
        <v>129</v>
      </c>
      <c r="G21" s="97" t="s">
        <v>129</v>
      </c>
      <c r="H21" s="97" t="s">
        <v>129</v>
      </c>
      <c r="I21" s="97" t="s">
        <v>129</v>
      </c>
      <c r="J21" s="97" t="s">
        <v>129</v>
      </c>
    </row>
    <row r="22" spans="2:10" x14ac:dyDescent="0.25">
      <c r="B22" s="84"/>
      <c r="C22" s="84"/>
      <c r="D22" s="85"/>
      <c r="E22" s="97" t="s">
        <v>129</v>
      </c>
      <c r="F22" s="97" t="s">
        <v>129</v>
      </c>
      <c r="G22" s="97" t="s">
        <v>129</v>
      </c>
      <c r="H22" s="97" t="s">
        <v>129</v>
      </c>
      <c r="I22" s="97" t="s">
        <v>129</v>
      </c>
      <c r="J22" s="97" t="s">
        <v>129</v>
      </c>
    </row>
    <row r="23" spans="2:10" x14ac:dyDescent="0.25">
      <c r="B23" s="84"/>
      <c r="C23" s="84"/>
      <c r="D23" s="85"/>
      <c r="E23" s="97" t="s">
        <v>129</v>
      </c>
      <c r="F23" s="97" t="s">
        <v>129</v>
      </c>
      <c r="G23" s="97" t="s">
        <v>129</v>
      </c>
      <c r="H23" s="97" t="s">
        <v>129</v>
      </c>
      <c r="I23" s="97" t="s">
        <v>129</v>
      </c>
      <c r="J23" s="97" t="s">
        <v>129</v>
      </c>
    </row>
    <row r="24" spans="2:10" x14ac:dyDescent="0.25">
      <c r="B24" s="84"/>
      <c r="C24" s="84"/>
      <c r="D24" s="85"/>
      <c r="E24" s="97" t="s">
        <v>129</v>
      </c>
      <c r="F24" s="97" t="s">
        <v>129</v>
      </c>
      <c r="G24" s="97" t="s">
        <v>129</v>
      </c>
      <c r="H24" s="97" t="s">
        <v>129</v>
      </c>
      <c r="I24" s="97" t="s">
        <v>129</v>
      </c>
      <c r="J24" s="97" t="s">
        <v>129</v>
      </c>
    </row>
    <row r="25" spans="2:10" x14ac:dyDescent="0.25">
      <c r="B25" s="84"/>
      <c r="C25" s="84"/>
      <c r="D25" s="85"/>
      <c r="E25" s="97" t="s">
        <v>129</v>
      </c>
      <c r="F25" s="97" t="s">
        <v>129</v>
      </c>
      <c r="G25" s="97" t="s">
        <v>129</v>
      </c>
      <c r="H25" s="97" t="s">
        <v>129</v>
      </c>
      <c r="I25" s="97" t="s">
        <v>129</v>
      </c>
      <c r="J25" s="97" t="s">
        <v>129</v>
      </c>
    </row>
    <row r="26" spans="2:10" x14ac:dyDescent="0.25">
      <c r="B26" s="84"/>
      <c r="C26" s="84"/>
      <c r="D26" s="85"/>
      <c r="E26" s="97" t="s">
        <v>129</v>
      </c>
      <c r="F26" s="97" t="s">
        <v>129</v>
      </c>
      <c r="G26" s="97" t="s">
        <v>129</v>
      </c>
      <c r="H26" s="97" t="s">
        <v>129</v>
      </c>
      <c r="I26" s="97" t="s">
        <v>129</v>
      </c>
      <c r="J26" s="97" t="s">
        <v>129</v>
      </c>
    </row>
    <row r="27" spans="2:10" x14ac:dyDescent="0.25">
      <c r="B27" s="84"/>
      <c r="C27" s="84"/>
      <c r="D27" s="85"/>
      <c r="E27" s="97" t="s">
        <v>129</v>
      </c>
      <c r="F27" s="97" t="s">
        <v>129</v>
      </c>
      <c r="G27" s="97" t="s">
        <v>129</v>
      </c>
      <c r="H27" s="97" t="s">
        <v>129</v>
      </c>
      <c r="I27" s="97" t="s">
        <v>129</v>
      </c>
      <c r="J27" s="97" t="s">
        <v>129</v>
      </c>
    </row>
    <row r="28" spans="2:10" x14ac:dyDescent="0.25">
      <c r="B28" s="84"/>
      <c r="C28" s="84"/>
      <c r="D28" s="85"/>
      <c r="E28" s="97" t="s">
        <v>129</v>
      </c>
      <c r="F28" s="97" t="s">
        <v>129</v>
      </c>
      <c r="G28" s="97" t="s">
        <v>129</v>
      </c>
      <c r="H28" s="97" t="s">
        <v>129</v>
      </c>
      <c r="I28" s="97" t="s">
        <v>129</v>
      </c>
      <c r="J28" s="97" t="s">
        <v>129</v>
      </c>
    </row>
    <row r="29" spans="2:10" x14ac:dyDescent="0.25">
      <c r="B29" s="84"/>
      <c r="C29" s="84"/>
      <c r="D29" s="85"/>
      <c r="E29" s="97" t="s">
        <v>129</v>
      </c>
      <c r="F29" s="97" t="s">
        <v>129</v>
      </c>
      <c r="G29" s="97" t="s">
        <v>129</v>
      </c>
      <c r="H29" s="97" t="s">
        <v>129</v>
      </c>
      <c r="I29" s="97" t="s">
        <v>129</v>
      </c>
      <c r="J29" s="97" t="s">
        <v>129</v>
      </c>
    </row>
    <row r="30" spans="2:10" x14ac:dyDescent="0.25">
      <c r="B30" s="84"/>
      <c r="C30" s="84"/>
      <c r="D30" s="85"/>
      <c r="E30" s="97" t="s">
        <v>129</v>
      </c>
      <c r="F30" s="97" t="s">
        <v>129</v>
      </c>
      <c r="G30" s="97" t="s">
        <v>129</v>
      </c>
      <c r="H30" s="97" t="s">
        <v>129</v>
      </c>
      <c r="I30" s="97" t="s">
        <v>129</v>
      </c>
      <c r="J30" s="97" t="s">
        <v>129</v>
      </c>
    </row>
    <row r="31" spans="2:10" x14ac:dyDescent="0.25">
      <c r="B31" s="84"/>
      <c r="C31" s="84"/>
      <c r="D31" s="85"/>
      <c r="E31" s="97" t="s">
        <v>129</v>
      </c>
      <c r="F31" s="97" t="s">
        <v>129</v>
      </c>
      <c r="G31" s="97" t="s">
        <v>129</v>
      </c>
      <c r="H31" s="97" t="s">
        <v>129</v>
      </c>
      <c r="I31" s="97" t="s">
        <v>129</v>
      </c>
      <c r="J31" s="97" t="s">
        <v>129</v>
      </c>
    </row>
    <row r="32" spans="2:10" x14ac:dyDescent="0.25">
      <c r="B32" s="84"/>
      <c r="C32" s="84"/>
      <c r="D32" s="85"/>
      <c r="E32" s="97" t="s">
        <v>129</v>
      </c>
      <c r="F32" s="97" t="s">
        <v>129</v>
      </c>
      <c r="G32" s="97" t="s">
        <v>129</v>
      </c>
      <c r="H32" s="97" t="s">
        <v>129</v>
      </c>
      <c r="I32" s="97" t="s">
        <v>129</v>
      </c>
      <c r="J32" s="97" t="s">
        <v>129</v>
      </c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 t="s">
        <v>129</v>
      </c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78" priority="12" stopIfTrue="1" operator="equal">
      <formula>"Inadequate"</formula>
    </cfRule>
    <cfRule type="cellIs" dxfId="77" priority="13" stopIfTrue="1" operator="equal">
      <formula>"Adequate"</formula>
    </cfRule>
    <cfRule type="cellIs" dxfId="76" priority="14" stopIfTrue="1" operator="equal">
      <formula>"Exemplary"</formula>
    </cfRule>
    <cfRule type="cellIs" dxfId="75" priority="15" stopIfTrue="1" operator="equal">
      <formula>"Poor"</formula>
    </cfRule>
  </conditionalFormatting>
  <conditionalFormatting sqref="E52:F52">
    <cfRule type="cellIs" dxfId="74" priority="16" stopIfTrue="1" operator="equal">
      <formula>"Inadequate"</formula>
    </cfRule>
    <cfRule type="cellIs" dxfId="73" priority="17" stopIfTrue="1" operator="equal">
      <formula>"Adequate"</formula>
    </cfRule>
    <cfRule type="cellIs" dxfId="72" priority="18" stopIfTrue="1" operator="equal">
      <formula>"Exemplary"</formula>
    </cfRule>
    <cfRule type="cellIs" dxfId="71" priority="19" stopIfTrue="1" operator="equal">
      <formula>"Poor"</formula>
    </cfRule>
  </conditionalFormatting>
  <conditionalFormatting sqref="G52:I52">
    <cfRule type="cellIs" dxfId="70" priority="8" stopIfTrue="1" operator="equal">
      <formula>"Inadequate"</formula>
    </cfRule>
    <cfRule type="cellIs" dxfId="69" priority="9" stopIfTrue="1" operator="equal">
      <formula>"Adequate"</formula>
    </cfRule>
    <cfRule type="cellIs" dxfId="68" priority="10" stopIfTrue="1" operator="equal">
      <formula>"Exemplary"</formula>
    </cfRule>
    <cfRule type="cellIs" dxfId="67" priority="11" stopIfTrue="1" operator="equal">
      <formula>"Poor"</formula>
    </cfRule>
  </conditionalFormatting>
  <conditionalFormatting sqref="E57:H59">
    <cfRule type="containsErrors" dxfId="66" priority="7" stopIfTrue="1">
      <formula>ISERROR(E57)</formula>
    </cfRule>
  </conditionalFormatting>
  <conditionalFormatting sqref="I57:I59">
    <cfRule type="containsErrors" dxfId="65" priority="6" stopIfTrue="1">
      <formula>ISERROR(I57)</formula>
    </cfRule>
  </conditionalFormatting>
  <conditionalFormatting sqref="E61:H61">
    <cfRule type="containsErrors" dxfId="64" priority="2" stopIfTrue="1">
      <formula>ISERROR(E61)</formula>
    </cfRule>
  </conditionalFormatting>
  <conditionalFormatting sqref="E62:H62">
    <cfRule type="containsErrors" dxfId="63" priority="5" stopIfTrue="1">
      <formula>ISERROR(E62)</formula>
    </cfRule>
  </conditionalFormatting>
  <conditionalFormatting sqref="I61:I62">
    <cfRule type="containsErrors" dxfId="62" priority="4" stopIfTrue="1">
      <formula>ISERROR(I61)</formula>
    </cfRule>
  </conditionalFormatting>
  <conditionalFormatting sqref="E60:H60">
    <cfRule type="containsErrors" dxfId="61" priority="3" stopIfTrue="1">
      <formula>ISERROR(E60)</formula>
    </cfRule>
  </conditionalFormatting>
  <conditionalFormatting sqref="I57:I60">
    <cfRule type="containsErrors" dxfId="60" priority="1" stopIfTrue="1">
      <formula>ISERROR(I57)</formula>
    </cfRule>
  </conditionalFormatting>
  <dataValidations count="1">
    <dataValidation type="list" allowBlank="1" showInputMessage="1" showErrorMessage="1" sqref="E12:J51" xr:uid="{00000000-0002-0000-15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10</xdr:col>
                <xdr:colOff>409575</xdr:colOff>
                <xdr:row>10</xdr:row>
                <xdr:rowOff>314325</xdr:rowOff>
              </from>
              <to>
                <xdr:col>12</xdr:col>
                <xdr:colOff>685800</xdr:colOff>
                <xdr:row>10</xdr:row>
                <xdr:rowOff>828675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4" r:id="rId12" name="CommandButton5">
          <controlPr defaultSize="0" autoLine="0" r:id="rId13">
            <anchor moveWithCells="1">
              <from>
                <xdr:col>10</xdr:col>
                <xdr:colOff>400050</xdr:colOff>
                <xdr:row>8</xdr:row>
                <xdr:rowOff>85725</xdr:rowOff>
              </from>
              <to>
                <xdr:col>12</xdr:col>
                <xdr:colOff>666750</xdr:colOff>
                <xdr:row>10</xdr:row>
                <xdr:rowOff>200025</xdr:rowOff>
              </to>
            </anchor>
          </controlPr>
        </control>
      </mc:Choice>
      <mc:Fallback>
        <control shapeId="27654" r:id="rId12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5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>
    <tabColor theme="5" tint="0.39997558519241921"/>
  </sheetPr>
  <dimension ref="B1:J87"/>
  <sheetViews>
    <sheetView showGridLines="0" zoomScale="70" zoomScaleNormal="70" workbookViewId="0">
      <selection activeCell="B2" sqref="B2:J2"/>
    </sheetView>
  </sheetViews>
  <sheetFormatPr baseColWidth="10" defaultColWidth="11.42578125" defaultRowHeight="15" customHeight="1" x14ac:dyDescent="0.25"/>
  <cols>
    <col min="1" max="1" width="3.28515625" customWidth="1"/>
    <col min="2" max="2" width="15.5703125" customWidth="1"/>
    <col min="3" max="3" width="14" customWidth="1"/>
    <col min="4" max="4" width="39.42578125" customWidth="1"/>
    <col min="5" max="10" width="26.7109375" customWidth="1"/>
    <col min="11" max="12" width="12.42578125" customWidth="1"/>
  </cols>
  <sheetData>
    <row r="1" spans="2:10" x14ac:dyDescent="0.25">
      <c r="B1" s="133" t="s">
        <v>115</v>
      </c>
      <c r="C1" s="133"/>
      <c r="D1" s="133"/>
      <c r="E1" s="133"/>
      <c r="F1" s="133"/>
      <c r="G1" s="133"/>
      <c r="H1" s="133"/>
      <c r="I1" s="133"/>
      <c r="J1" s="133"/>
    </row>
    <row r="2" spans="2:10" ht="33" customHeight="1" x14ac:dyDescent="0.25">
      <c r="B2" s="177" t="str">
        <f>+'RUBRIC SO#'!A2&amp;":"&amp;" "&amp;'RUBRIC SO#'!B2</f>
        <v>RA1:  La capacidad de operar los procesos de importación y exportación de acuerdo a la normatividad vigente.</v>
      </c>
      <c r="C2" s="177"/>
      <c r="D2" s="177"/>
      <c r="E2" s="177"/>
      <c r="F2" s="177"/>
      <c r="G2" s="177"/>
      <c r="H2" s="177"/>
      <c r="I2" s="177"/>
      <c r="J2" s="177"/>
    </row>
    <row r="3" spans="2:10" ht="6" customHeight="1" x14ac:dyDescent="0.25">
      <c r="B3" s="12"/>
      <c r="C3" s="12"/>
      <c r="D3" s="12"/>
      <c r="E3" s="12"/>
      <c r="F3" s="12"/>
      <c r="G3" s="12"/>
      <c r="H3" s="12"/>
      <c r="I3" s="12"/>
      <c r="J3" s="12"/>
    </row>
    <row r="4" spans="2:10" x14ac:dyDescent="0.25">
      <c r="B4" s="139" t="s">
        <v>116</v>
      </c>
      <c r="C4" s="139"/>
      <c r="D4" s="52" t="s">
        <v>117</v>
      </c>
      <c r="E4" s="1" t="s">
        <v>118</v>
      </c>
      <c r="F4" s="13"/>
      <c r="G4" s="13"/>
      <c r="H4" s="13"/>
      <c r="I4" s="13"/>
      <c r="J4" s="13"/>
    </row>
    <row r="5" spans="2:10" ht="24.75" customHeight="1" x14ac:dyDescent="0.25">
      <c r="B5" s="140"/>
      <c r="C5" s="142"/>
      <c r="D5" s="86"/>
      <c r="E5" s="86"/>
      <c r="F5" s="13"/>
      <c r="G5" s="112" t="s">
        <v>119</v>
      </c>
      <c r="H5" s="112"/>
      <c r="I5" s="112"/>
      <c r="J5" s="13"/>
    </row>
    <row r="6" spans="2:10" x14ac:dyDescent="0.25">
      <c r="B6" s="8"/>
      <c r="C6" s="9"/>
      <c r="D6" s="8"/>
      <c r="E6" s="44"/>
      <c r="F6" s="13"/>
      <c r="G6" s="112" t="s">
        <v>120</v>
      </c>
      <c r="H6" s="112"/>
      <c r="I6" s="112"/>
      <c r="J6" s="13"/>
    </row>
    <row r="7" spans="2:10" ht="15" customHeight="1" x14ac:dyDescent="0.25">
      <c r="B7" s="139" t="s">
        <v>121</v>
      </c>
      <c r="C7" s="139"/>
      <c r="D7" s="140"/>
      <c r="E7" s="140"/>
      <c r="F7" s="13"/>
      <c r="G7" s="113" t="s">
        <v>122</v>
      </c>
      <c r="H7" s="113"/>
      <c r="I7" s="113"/>
      <c r="J7" s="13"/>
    </row>
    <row r="8" spans="2:10" ht="15" customHeight="1" x14ac:dyDescent="0.25">
      <c r="B8" s="139" t="s">
        <v>123</v>
      </c>
      <c r="C8" s="139"/>
      <c r="D8" s="140"/>
      <c r="E8" s="140"/>
      <c r="F8" s="13"/>
      <c r="G8" s="113" t="s">
        <v>124</v>
      </c>
      <c r="H8" s="113"/>
      <c r="I8" s="113"/>
      <c r="J8" s="13"/>
    </row>
    <row r="9" spans="2:10" ht="11.25" customHeight="1" x14ac:dyDescent="0.25">
      <c r="B9" s="14"/>
      <c r="C9" s="14"/>
      <c r="D9" s="8"/>
      <c r="E9" s="8"/>
      <c r="F9" s="13"/>
      <c r="G9" s="13"/>
      <c r="H9" s="13"/>
      <c r="I9" s="13"/>
      <c r="J9" s="13"/>
    </row>
    <row r="10" spans="2:10" ht="15" customHeight="1" x14ac:dyDescent="0.25">
      <c r="B10" s="8"/>
      <c r="C10" s="9"/>
      <c r="D10" s="8"/>
      <c r="E10" s="143" t="s">
        <v>125</v>
      </c>
      <c r="F10" s="144"/>
      <c r="G10" s="144"/>
      <c r="H10" s="144"/>
      <c r="I10" s="144"/>
      <c r="J10" s="144"/>
    </row>
    <row r="11" spans="2:10" ht="114.95" customHeight="1" x14ac:dyDescent="0.25">
      <c r="B11" s="53" t="s">
        <v>126</v>
      </c>
      <c r="C11" s="53" t="s">
        <v>127</v>
      </c>
      <c r="D11" s="53" t="s">
        <v>128</v>
      </c>
      <c r="E11" s="179" t="str">
        <f>IF('RUBRIC SO#'!A7="-"," ","PI1: "&amp; 'RUBRIC SO#'!A7)</f>
        <v>PI1: Identificar los procedimientos generales para exportación e importación de bienes, tanto al interior de la empresa como ante terceros.
(Claridad, pertinencia y coherencia)</v>
      </c>
      <c r="F11" s="179" t="str">
        <f>IF('RUBRIC SO#'!A8="-"," ","PI2: "&amp; 'RUBRIC SO#'!A8)</f>
        <v>PI2: Clasificar los trámites para importación y exportación al interior de la empresa y ante organismos competentes . (Claridad, Pertinencia)</v>
      </c>
      <c r="G11" s="179" t="str">
        <f>IF('RUBRIC SO#'!A9="-"," ","PI3: "&amp; 'RUBRIC SO#'!A9)</f>
        <v>PI3: Diligenciar adecuada y oportunamente la documentación relacionada con la legalización de los procesos de importación y exportación, atendiendo la legislación vigente. (Estructura, Pertinencia)</v>
      </c>
      <c r="H11" s="179" t="str">
        <f>IF('RUBRIC SO#'!A10="-"," ","PI4: "&amp; 'RUBRIC SO#'!A10)</f>
        <v>PI4: Verifica los procedimientos aplicando criterios para la rectificación de la información y documentación en las operaciones de importación e importación. (Pertinencia y Originalidad)</v>
      </c>
      <c r="I11" s="21" t="str">
        <f>IF('RUBRIC SO#'!A11="-"," ","PI5: "&amp; 'RUBRIC SO#'!A11)</f>
        <v>PI5: 0</v>
      </c>
      <c r="J11" s="21" t="str">
        <f>IF('RUBRIC SO#'!A12="-"," ","PI6: "&amp; 'RUBRIC SO#'!A12)</f>
        <v>PI6: 0</v>
      </c>
    </row>
    <row r="12" spans="2:10" x14ac:dyDescent="0.25">
      <c r="B12" s="84"/>
      <c r="C12" s="84"/>
      <c r="D12" s="85"/>
      <c r="E12" s="97" t="s">
        <v>129</v>
      </c>
      <c r="F12" s="97" t="s">
        <v>129</v>
      </c>
      <c r="G12" s="97" t="s">
        <v>129</v>
      </c>
      <c r="H12" s="97" t="s">
        <v>129</v>
      </c>
      <c r="I12" s="97" t="s">
        <v>129</v>
      </c>
      <c r="J12" s="97" t="s">
        <v>129</v>
      </c>
    </row>
    <row r="13" spans="2:10" x14ac:dyDescent="0.25">
      <c r="B13" s="84"/>
      <c r="C13" s="84"/>
      <c r="D13" s="85"/>
      <c r="E13" s="97"/>
      <c r="F13" s="97" t="s">
        <v>129</v>
      </c>
      <c r="G13" s="97" t="s">
        <v>129</v>
      </c>
      <c r="H13" s="97" t="s">
        <v>129</v>
      </c>
      <c r="I13" s="97" t="s">
        <v>129</v>
      </c>
      <c r="J13" s="97" t="s">
        <v>129</v>
      </c>
    </row>
    <row r="14" spans="2:10" x14ac:dyDescent="0.25">
      <c r="B14" s="84"/>
      <c r="C14" s="84"/>
      <c r="D14" s="85"/>
      <c r="E14" s="97"/>
      <c r="F14" s="97"/>
      <c r="G14" s="97"/>
      <c r="H14" s="97"/>
      <c r="I14" s="97"/>
      <c r="J14" s="97"/>
    </row>
    <row r="15" spans="2:10" x14ac:dyDescent="0.25">
      <c r="B15" s="84"/>
      <c r="C15" s="84"/>
      <c r="D15" s="85"/>
      <c r="E15" s="97"/>
      <c r="F15" s="97"/>
      <c r="G15" s="97"/>
      <c r="H15" s="97"/>
      <c r="I15" s="97"/>
      <c r="J15" s="97"/>
    </row>
    <row r="16" spans="2:10" x14ac:dyDescent="0.25">
      <c r="B16" s="84"/>
      <c r="C16" s="84"/>
      <c r="D16" s="85"/>
      <c r="E16" s="97"/>
      <c r="F16" s="97"/>
      <c r="G16" s="97"/>
      <c r="H16" s="97"/>
      <c r="I16" s="97"/>
      <c r="J16" s="97"/>
    </row>
    <row r="17" spans="2:10" x14ac:dyDescent="0.25">
      <c r="B17" s="84"/>
      <c r="C17" s="84"/>
      <c r="D17" s="85"/>
      <c r="E17" s="97"/>
      <c r="F17" s="97"/>
      <c r="G17" s="97"/>
      <c r="H17" s="97"/>
      <c r="I17" s="97"/>
      <c r="J17" s="97"/>
    </row>
    <row r="18" spans="2:10" x14ac:dyDescent="0.25">
      <c r="B18" s="84"/>
      <c r="C18" s="84"/>
      <c r="D18" s="85"/>
      <c r="E18" s="97"/>
      <c r="F18" s="97"/>
      <c r="G18" s="97"/>
      <c r="H18" s="97"/>
      <c r="I18" s="97"/>
      <c r="J18" s="97"/>
    </row>
    <row r="19" spans="2:10" x14ac:dyDescent="0.25">
      <c r="B19" s="84"/>
      <c r="C19" s="84"/>
      <c r="D19" s="85"/>
      <c r="E19" s="97"/>
      <c r="F19" s="97"/>
      <c r="G19" s="97"/>
      <c r="H19" s="97"/>
      <c r="I19" s="97"/>
      <c r="J19" s="97"/>
    </row>
    <row r="20" spans="2:10" x14ac:dyDescent="0.25">
      <c r="B20" s="84"/>
      <c r="C20" s="84"/>
      <c r="D20" s="85"/>
      <c r="E20" s="97"/>
      <c r="F20" s="97"/>
      <c r="G20" s="97"/>
      <c r="H20" s="97"/>
      <c r="I20" s="97"/>
      <c r="J20" s="97"/>
    </row>
    <row r="21" spans="2:10" x14ac:dyDescent="0.25">
      <c r="B21" s="84"/>
      <c r="C21" s="84"/>
      <c r="D21" s="85"/>
      <c r="E21" s="97"/>
      <c r="F21" s="97"/>
      <c r="G21" s="97"/>
      <c r="H21" s="97"/>
      <c r="I21" s="97"/>
      <c r="J21" s="97"/>
    </row>
    <row r="22" spans="2:10" x14ac:dyDescent="0.25">
      <c r="B22" s="84"/>
      <c r="C22" s="84"/>
      <c r="D22" s="85"/>
      <c r="E22" s="97"/>
      <c r="F22" s="97"/>
      <c r="G22" s="97"/>
      <c r="H22" s="97"/>
      <c r="I22" s="97"/>
      <c r="J22" s="97"/>
    </row>
    <row r="23" spans="2:10" x14ac:dyDescent="0.25">
      <c r="B23" s="84"/>
      <c r="C23" s="84"/>
      <c r="D23" s="85"/>
      <c r="E23" s="97"/>
      <c r="F23" s="97"/>
      <c r="G23" s="97"/>
      <c r="H23" s="97"/>
      <c r="I23" s="97"/>
      <c r="J23" s="97"/>
    </row>
    <row r="24" spans="2:10" x14ac:dyDescent="0.25">
      <c r="B24" s="84"/>
      <c r="C24" s="84"/>
      <c r="D24" s="85"/>
      <c r="E24" s="97"/>
      <c r="F24" s="97"/>
      <c r="G24" s="97"/>
      <c r="H24" s="97"/>
      <c r="I24" s="97"/>
      <c r="J24" s="97"/>
    </row>
    <row r="25" spans="2:10" x14ac:dyDescent="0.25">
      <c r="B25" s="84"/>
      <c r="C25" s="84"/>
      <c r="D25" s="85"/>
      <c r="E25" s="97"/>
      <c r="F25" s="97"/>
      <c r="G25" s="97"/>
      <c r="H25" s="97"/>
      <c r="I25" s="97"/>
      <c r="J25" s="97"/>
    </row>
    <row r="26" spans="2:10" x14ac:dyDescent="0.25">
      <c r="B26" s="84"/>
      <c r="C26" s="84"/>
      <c r="D26" s="85"/>
      <c r="E26" s="97"/>
      <c r="F26" s="97"/>
      <c r="G26" s="97"/>
      <c r="H26" s="97"/>
      <c r="I26" s="97"/>
      <c r="J26" s="97"/>
    </row>
    <row r="27" spans="2:10" x14ac:dyDescent="0.25">
      <c r="B27" s="84"/>
      <c r="C27" s="84"/>
      <c r="D27" s="85"/>
      <c r="E27" s="97"/>
      <c r="F27" s="97"/>
      <c r="G27" s="97"/>
      <c r="H27" s="97"/>
      <c r="I27" s="97"/>
      <c r="J27" s="97"/>
    </row>
    <row r="28" spans="2:10" x14ac:dyDescent="0.25">
      <c r="B28" s="84"/>
      <c r="C28" s="84"/>
      <c r="D28" s="85"/>
      <c r="E28" s="97"/>
      <c r="F28" s="97"/>
      <c r="G28" s="97"/>
      <c r="H28" s="97"/>
      <c r="I28" s="97"/>
      <c r="J28" s="97"/>
    </row>
    <row r="29" spans="2:10" x14ac:dyDescent="0.25">
      <c r="B29" s="84"/>
      <c r="C29" s="84"/>
      <c r="D29" s="85"/>
      <c r="E29" s="97"/>
      <c r="F29" s="97"/>
      <c r="G29" s="97"/>
      <c r="H29" s="97"/>
      <c r="I29" s="97"/>
      <c r="J29" s="97"/>
    </row>
    <row r="30" spans="2:10" x14ac:dyDescent="0.25">
      <c r="B30" s="84"/>
      <c r="C30" s="84"/>
      <c r="D30" s="85"/>
      <c r="E30" s="97"/>
      <c r="F30" s="97"/>
      <c r="G30" s="97"/>
      <c r="H30" s="97"/>
      <c r="I30" s="97"/>
      <c r="J30" s="97"/>
    </row>
    <row r="31" spans="2:10" x14ac:dyDescent="0.25">
      <c r="B31" s="84"/>
      <c r="C31" s="84"/>
      <c r="D31" s="85"/>
      <c r="E31" s="97"/>
      <c r="F31" s="97"/>
      <c r="G31" s="97"/>
      <c r="H31" s="97"/>
      <c r="I31" s="97"/>
      <c r="J31" s="97"/>
    </row>
    <row r="32" spans="2:10" x14ac:dyDescent="0.25">
      <c r="B32" s="84"/>
      <c r="C32" s="84"/>
      <c r="D32" s="85"/>
      <c r="E32" s="97"/>
      <c r="F32" s="97"/>
      <c r="G32" s="97"/>
      <c r="H32" s="97"/>
      <c r="I32" s="97"/>
      <c r="J32" s="97"/>
    </row>
    <row r="33" spans="2:10" x14ac:dyDescent="0.25">
      <c r="B33" s="84"/>
      <c r="C33" s="84"/>
      <c r="D33" s="85"/>
      <c r="E33" s="97" t="s">
        <v>129</v>
      </c>
      <c r="F33" s="97" t="s">
        <v>129</v>
      </c>
      <c r="G33" s="97" t="s">
        <v>129</v>
      </c>
      <c r="H33" s="97" t="s">
        <v>129</v>
      </c>
      <c r="I33" s="97" t="s">
        <v>129</v>
      </c>
      <c r="J33" s="97" t="s">
        <v>129</v>
      </c>
    </row>
    <row r="34" spans="2:10" x14ac:dyDescent="0.25">
      <c r="B34" s="84"/>
      <c r="C34" s="84"/>
      <c r="D34" s="85"/>
      <c r="E34" s="97" t="s">
        <v>129</v>
      </c>
      <c r="F34" s="97" t="s">
        <v>129</v>
      </c>
      <c r="G34" s="97" t="s">
        <v>129</v>
      </c>
      <c r="H34" s="97" t="s">
        <v>129</v>
      </c>
      <c r="I34" s="97" t="s">
        <v>129</v>
      </c>
      <c r="J34" s="97" t="s">
        <v>129</v>
      </c>
    </row>
    <row r="35" spans="2:10" x14ac:dyDescent="0.25">
      <c r="B35" s="84"/>
      <c r="C35" s="84"/>
      <c r="D35" s="85"/>
      <c r="E35" s="97" t="s">
        <v>129</v>
      </c>
      <c r="F35" s="97" t="s">
        <v>129</v>
      </c>
      <c r="G35" s="97" t="s">
        <v>129</v>
      </c>
      <c r="H35" s="97" t="s">
        <v>129</v>
      </c>
      <c r="I35" s="97" t="s">
        <v>129</v>
      </c>
      <c r="J35" s="97" t="s">
        <v>129</v>
      </c>
    </row>
    <row r="36" spans="2:10" x14ac:dyDescent="0.25">
      <c r="B36" s="84"/>
      <c r="C36" s="84"/>
      <c r="D36" s="85"/>
      <c r="E36" s="97" t="s">
        <v>129</v>
      </c>
      <c r="F36" s="97" t="s">
        <v>129</v>
      </c>
      <c r="G36" s="97" t="s">
        <v>129</v>
      </c>
      <c r="H36" s="97" t="s">
        <v>129</v>
      </c>
      <c r="I36" s="97" t="s">
        <v>129</v>
      </c>
      <c r="J36" s="97" t="s">
        <v>129</v>
      </c>
    </row>
    <row r="37" spans="2:10" x14ac:dyDescent="0.25">
      <c r="B37" s="84"/>
      <c r="C37" s="84"/>
      <c r="D37" s="85"/>
      <c r="E37" s="97" t="s">
        <v>129</v>
      </c>
      <c r="F37" s="97" t="s">
        <v>129</v>
      </c>
      <c r="G37" s="97" t="s">
        <v>129</v>
      </c>
      <c r="H37" s="97" t="s">
        <v>129</v>
      </c>
      <c r="I37" s="97" t="s">
        <v>129</v>
      </c>
      <c r="J37" s="97" t="s">
        <v>129</v>
      </c>
    </row>
    <row r="38" spans="2:10" x14ac:dyDescent="0.25">
      <c r="B38" s="84"/>
      <c r="C38" s="84"/>
      <c r="D38" s="85"/>
      <c r="E38" s="97" t="s">
        <v>129</v>
      </c>
      <c r="F38" s="97" t="s">
        <v>129</v>
      </c>
      <c r="G38" s="97" t="s">
        <v>129</v>
      </c>
      <c r="H38" s="97" t="s">
        <v>129</v>
      </c>
      <c r="I38" s="97" t="s">
        <v>129</v>
      </c>
      <c r="J38" s="97" t="s">
        <v>129</v>
      </c>
    </row>
    <row r="39" spans="2:10" x14ac:dyDescent="0.25">
      <c r="B39" s="84"/>
      <c r="C39" s="84"/>
      <c r="D39" s="85"/>
      <c r="E39" s="97" t="s">
        <v>129</v>
      </c>
      <c r="F39" s="97" t="s">
        <v>129</v>
      </c>
      <c r="G39" s="97" t="s">
        <v>129</v>
      </c>
      <c r="H39" s="97" t="s">
        <v>129</v>
      </c>
      <c r="I39" s="97" t="s">
        <v>129</v>
      </c>
      <c r="J39" s="97" t="s">
        <v>129</v>
      </c>
    </row>
    <row r="40" spans="2:10" x14ac:dyDescent="0.25">
      <c r="B40" s="84"/>
      <c r="C40" s="84"/>
      <c r="D40" s="85"/>
      <c r="E40" s="97" t="s">
        <v>129</v>
      </c>
      <c r="F40" s="97" t="s">
        <v>129</v>
      </c>
      <c r="G40" s="97"/>
      <c r="H40" s="97" t="s">
        <v>129</v>
      </c>
      <c r="I40" s="97" t="s">
        <v>129</v>
      </c>
      <c r="J40" s="97" t="s">
        <v>129</v>
      </c>
    </row>
    <row r="41" spans="2:10" x14ac:dyDescent="0.25">
      <c r="B41" s="84"/>
      <c r="C41" s="84"/>
      <c r="D41" s="85"/>
      <c r="E41" s="97" t="s">
        <v>129</v>
      </c>
      <c r="F41" s="97" t="s">
        <v>129</v>
      </c>
      <c r="G41" s="97" t="s">
        <v>129</v>
      </c>
      <c r="H41" s="97" t="s">
        <v>129</v>
      </c>
      <c r="I41" s="97" t="s">
        <v>129</v>
      </c>
      <c r="J41" s="97" t="s">
        <v>129</v>
      </c>
    </row>
    <row r="42" spans="2:10" x14ac:dyDescent="0.25">
      <c r="B42" s="84"/>
      <c r="C42" s="84"/>
      <c r="D42" s="85"/>
      <c r="E42" s="97" t="s">
        <v>129</v>
      </c>
      <c r="F42" s="97" t="s">
        <v>129</v>
      </c>
      <c r="G42" s="97" t="s">
        <v>129</v>
      </c>
      <c r="H42" s="97" t="s">
        <v>129</v>
      </c>
      <c r="I42" s="97" t="s">
        <v>129</v>
      </c>
      <c r="J42" s="97" t="s">
        <v>129</v>
      </c>
    </row>
    <row r="43" spans="2:10" x14ac:dyDescent="0.25">
      <c r="B43" s="84"/>
      <c r="C43" s="84"/>
      <c r="D43" s="85"/>
      <c r="E43" s="97" t="s">
        <v>129</v>
      </c>
      <c r="F43" s="97" t="s">
        <v>129</v>
      </c>
      <c r="G43" s="97" t="s">
        <v>129</v>
      </c>
      <c r="H43" s="97" t="s">
        <v>129</v>
      </c>
      <c r="I43" s="97" t="s">
        <v>129</v>
      </c>
      <c r="J43" s="97" t="s">
        <v>129</v>
      </c>
    </row>
    <row r="44" spans="2:10" x14ac:dyDescent="0.25">
      <c r="B44" s="84"/>
      <c r="C44" s="84"/>
      <c r="D44" s="85"/>
      <c r="E44" s="97" t="s">
        <v>129</v>
      </c>
      <c r="F44" s="97" t="s">
        <v>129</v>
      </c>
      <c r="G44" s="97" t="s">
        <v>129</v>
      </c>
      <c r="H44" s="97" t="s">
        <v>129</v>
      </c>
      <c r="I44" s="97" t="s">
        <v>129</v>
      </c>
      <c r="J44" s="97" t="s">
        <v>129</v>
      </c>
    </row>
    <row r="45" spans="2:10" x14ac:dyDescent="0.25">
      <c r="B45" s="84"/>
      <c r="C45" s="84"/>
      <c r="D45" s="85"/>
      <c r="E45" s="97" t="s">
        <v>129</v>
      </c>
      <c r="F45" s="97" t="s">
        <v>129</v>
      </c>
      <c r="G45" s="97" t="s">
        <v>129</v>
      </c>
      <c r="H45" s="97" t="s">
        <v>129</v>
      </c>
      <c r="I45" s="97" t="s">
        <v>129</v>
      </c>
      <c r="J45" s="97" t="s">
        <v>129</v>
      </c>
    </row>
    <row r="46" spans="2:10" x14ac:dyDescent="0.25">
      <c r="B46" s="84"/>
      <c r="C46" s="84"/>
      <c r="D46" s="85"/>
      <c r="E46" s="97" t="s">
        <v>129</v>
      </c>
      <c r="F46" s="97" t="s">
        <v>129</v>
      </c>
      <c r="G46" s="97" t="s">
        <v>129</v>
      </c>
      <c r="H46" s="97"/>
      <c r="I46" s="97"/>
      <c r="J46" s="97" t="s">
        <v>129</v>
      </c>
    </row>
    <row r="47" spans="2:10" x14ac:dyDescent="0.25">
      <c r="B47" s="84"/>
      <c r="C47" s="84"/>
      <c r="D47" s="85"/>
      <c r="E47" s="97" t="s">
        <v>129</v>
      </c>
      <c r="F47" s="97" t="s">
        <v>129</v>
      </c>
      <c r="G47" s="97" t="s">
        <v>129</v>
      </c>
      <c r="H47" s="97"/>
      <c r="I47" s="97"/>
      <c r="J47" s="97" t="s">
        <v>129</v>
      </c>
    </row>
    <row r="48" spans="2:10" x14ac:dyDescent="0.25">
      <c r="B48" s="84"/>
      <c r="C48" s="84"/>
      <c r="D48" s="85"/>
      <c r="E48" s="97" t="s">
        <v>129</v>
      </c>
      <c r="F48" s="97" t="s">
        <v>129</v>
      </c>
      <c r="G48" s="97" t="s">
        <v>129</v>
      </c>
      <c r="H48" s="97"/>
      <c r="I48" s="97"/>
      <c r="J48" s="97" t="s">
        <v>129</v>
      </c>
    </row>
    <row r="49" spans="2:10" x14ac:dyDescent="0.25">
      <c r="B49" s="84"/>
      <c r="C49" s="84"/>
      <c r="D49" s="85"/>
      <c r="E49" s="97" t="s">
        <v>129</v>
      </c>
      <c r="F49" s="97" t="s">
        <v>129</v>
      </c>
      <c r="G49" s="97" t="s">
        <v>129</v>
      </c>
      <c r="H49" s="97"/>
      <c r="I49" s="97"/>
      <c r="J49" s="97" t="s">
        <v>129</v>
      </c>
    </row>
    <row r="50" spans="2:10" x14ac:dyDescent="0.25">
      <c r="B50" s="84"/>
      <c r="C50" s="84"/>
      <c r="D50" s="85"/>
      <c r="E50" s="97" t="s">
        <v>129</v>
      </c>
      <c r="F50" s="97" t="s">
        <v>129</v>
      </c>
      <c r="G50" s="97" t="s">
        <v>129</v>
      </c>
      <c r="H50" s="97"/>
      <c r="I50" s="97"/>
      <c r="J50" s="97" t="s">
        <v>129</v>
      </c>
    </row>
    <row r="51" spans="2:10" ht="15" customHeight="1" x14ac:dyDescent="0.25">
      <c r="B51" s="84"/>
      <c r="C51" s="84"/>
      <c r="D51" s="85"/>
      <c r="E51" s="97" t="s">
        <v>129</v>
      </c>
      <c r="F51" s="97" t="s">
        <v>129</v>
      </c>
      <c r="G51" s="97" t="s">
        <v>129</v>
      </c>
      <c r="H51" s="97"/>
      <c r="I51" s="97"/>
      <c r="J51" s="97" t="s">
        <v>129</v>
      </c>
    </row>
    <row r="52" spans="2:10" ht="15" customHeight="1" x14ac:dyDescent="0.25">
      <c r="B52" s="89"/>
      <c r="C52" s="89"/>
      <c r="D52" s="90"/>
      <c r="E52" s="91"/>
      <c r="F52" s="91"/>
      <c r="G52" s="91"/>
      <c r="H52" s="91"/>
      <c r="I52" s="91"/>
      <c r="J52" s="91"/>
    </row>
    <row r="53" spans="2:10" ht="15" customHeight="1" x14ac:dyDescent="0.25">
      <c r="B53" s="133" t="s">
        <v>115</v>
      </c>
      <c r="C53" s="133"/>
      <c r="D53" s="133"/>
      <c r="E53" s="133"/>
      <c r="F53" s="133"/>
      <c r="G53" s="133"/>
      <c r="H53" s="133"/>
      <c r="I53" s="133"/>
      <c r="J53" s="133"/>
    </row>
    <row r="54" spans="2:10" ht="15" customHeight="1" x14ac:dyDescent="0.25">
      <c r="B54" s="12"/>
      <c r="C54" s="12"/>
      <c r="D54" s="12"/>
      <c r="E54" s="12"/>
      <c r="F54" s="12"/>
      <c r="G54" s="12"/>
      <c r="H54" s="12"/>
      <c r="I54" s="12"/>
      <c r="J54" s="12"/>
    </row>
    <row r="55" spans="2:10" ht="15" customHeight="1" x14ac:dyDescent="0.25">
      <c r="E55" s="136" t="s">
        <v>144</v>
      </c>
      <c r="F55" s="137"/>
      <c r="G55" s="137"/>
      <c r="H55" s="141"/>
    </row>
    <row r="56" spans="2:10" ht="15" customHeight="1" x14ac:dyDescent="0.25">
      <c r="D56" s="53" t="s">
        <v>131</v>
      </c>
      <c r="E56" s="2" t="s">
        <v>132</v>
      </c>
      <c r="F56" s="3" t="s">
        <v>133</v>
      </c>
      <c r="G56" s="4" t="s">
        <v>134</v>
      </c>
      <c r="H56" s="5" t="s">
        <v>135</v>
      </c>
    </row>
    <row r="57" spans="2:10" ht="15" customHeight="1" x14ac:dyDescent="0.25">
      <c r="B57" s="15" t="s">
        <v>136</v>
      </c>
      <c r="C57" s="15"/>
      <c r="D57" s="6" t="s">
        <v>137</v>
      </c>
      <c r="E57" s="18">
        <f>(COUNTIF($E$12:$E$51,"Poor"))/(COUNTA($E$12:$E$51))</f>
        <v>0</v>
      </c>
      <c r="F57" s="18">
        <f>(COUNTIF($E$12:$E$51,"Inadequate"))/(COUNTA($E$12:$E$51))</f>
        <v>0</v>
      </c>
      <c r="G57" s="18">
        <f>(COUNTIF($E$12:$E$51,"Adequate"))/(COUNTA($E$12:$E$51))</f>
        <v>0</v>
      </c>
      <c r="H57" s="18">
        <f>(COUNTIF($E$12:$E$51,"Exemplary"))/(COUNTA($E$12:$E$51))</f>
        <v>0</v>
      </c>
      <c r="I57" s="107">
        <f t="shared" ref="I57:I62" si="0">SUM(E57:H57)</f>
        <v>0</v>
      </c>
    </row>
    <row r="58" spans="2:10" ht="15" customHeight="1" x14ac:dyDescent="0.25">
      <c r="B58" s="15"/>
      <c r="C58" s="15"/>
      <c r="D58" s="6" t="s">
        <v>138</v>
      </c>
      <c r="E58" s="18">
        <f>(COUNTIF($F$12:$F$51,"Poor"))/(COUNTA($F$12:$F$51))</f>
        <v>0</v>
      </c>
      <c r="F58" s="18">
        <f>(COUNTIF($F$12:$F$51,"Inadequate"))/(COUNTA($F$12:$F$51))</f>
        <v>0</v>
      </c>
      <c r="G58" s="18">
        <f>(COUNTIF($F$12:$F$51,"Adequate"))/(COUNTA($F$12:$F$51))</f>
        <v>0</v>
      </c>
      <c r="H58" s="18">
        <f>(COUNTIF($F$12:$F$51,"Exemplary"))/(COUNTA($F$12:$F$51))</f>
        <v>0</v>
      </c>
      <c r="I58" s="107">
        <f t="shared" si="0"/>
        <v>0</v>
      </c>
    </row>
    <row r="59" spans="2:10" ht="15" customHeight="1" x14ac:dyDescent="0.25">
      <c r="B59" s="15"/>
      <c r="C59" s="15"/>
      <c r="D59" s="6" t="s">
        <v>139</v>
      </c>
      <c r="E59" s="18">
        <f>(COUNTIF($G$12:$G$51,"Poor"))/(COUNTA($G$12:$G$51))</f>
        <v>0</v>
      </c>
      <c r="F59" s="18">
        <f>(COUNTIF($G$12:$G$51,"Inadequate"))/(COUNTA($G$12:$G$51))</f>
        <v>0</v>
      </c>
      <c r="G59" s="18">
        <f>(COUNTIF($G$12:$G$51,"Adequate"))/(COUNTA($G$12:$G$51))</f>
        <v>0</v>
      </c>
      <c r="H59" s="18">
        <f>(COUNTIF($G$12:$G$51,"Exemplary"))/(COUNTA($G$12:$G$51))</f>
        <v>0</v>
      </c>
      <c r="I59" s="107">
        <f t="shared" si="0"/>
        <v>0</v>
      </c>
    </row>
    <row r="60" spans="2:10" ht="15" customHeight="1" x14ac:dyDescent="0.25">
      <c r="B60" s="15"/>
      <c r="C60" s="15"/>
      <c r="D60" s="6" t="s">
        <v>140</v>
      </c>
      <c r="E60" s="18">
        <f>(COUNTIF($H$12:$H$51,"Poor"))/(COUNTA($H$12:$H$51))</f>
        <v>0</v>
      </c>
      <c r="F60" s="18">
        <f>(COUNTIF($H$12:$H$51,"Inadequate"))/(COUNTA($H$12:$H$51))</f>
        <v>0</v>
      </c>
      <c r="G60" s="18">
        <f>(COUNTIF($H$12:$H$51,"Adequate"))/(COUNTA($H$12:$H$51))</f>
        <v>0</v>
      </c>
      <c r="H60" s="18">
        <f>(COUNTIF($H$12:$H$51,"Exemplary"))/(COUNTA($H$12:$H$51))</f>
        <v>0</v>
      </c>
      <c r="I60" s="107">
        <f t="shared" si="0"/>
        <v>0</v>
      </c>
    </row>
    <row r="61" spans="2:10" ht="15" customHeight="1" x14ac:dyDescent="0.25">
      <c r="B61" s="15"/>
      <c r="C61" s="15"/>
      <c r="D61" s="6" t="s">
        <v>141</v>
      </c>
      <c r="E61" s="18">
        <f>(COUNTIF($I$12:$I$51,"Poor"))/(COUNTA($I$12:$I$51))</f>
        <v>0</v>
      </c>
      <c r="F61" s="18">
        <f>(COUNTIF($I$12:$I$51,"Inadequate"))/(COUNTA($I$12:$I$51))</f>
        <v>0</v>
      </c>
      <c r="G61" s="18">
        <f>(COUNTIF($I$12:$I$51,"Adequate"))/(COUNTA($I$12:$I$51))</f>
        <v>0</v>
      </c>
      <c r="H61" s="18">
        <f>(COUNTIF($I$12:$I$51,"Exemplary"))/(COUNTA($I$12:$I$51))</f>
        <v>0</v>
      </c>
      <c r="I61" s="107">
        <f t="shared" si="0"/>
        <v>0</v>
      </c>
    </row>
    <row r="62" spans="2:10" ht="15" customHeight="1" x14ac:dyDescent="0.25">
      <c r="B62" s="15"/>
      <c r="C62" s="15"/>
      <c r="D62" s="6" t="s">
        <v>142</v>
      </c>
      <c r="E62" s="18">
        <f>(COUNTIF($J$12:$J$51,"Poor"))/(COUNTA($J$12:$J$51))</f>
        <v>0</v>
      </c>
      <c r="F62" s="18">
        <f>(COUNTIF($J$12:$J$51,"Inadequate"))/(COUNTA($J$12:$J$51))</f>
        <v>0</v>
      </c>
      <c r="G62" s="18">
        <f>(COUNTIF($J$12:$J$51,"Adequate"))/(COUNTA($J$12:$J$51))</f>
        <v>0</v>
      </c>
      <c r="H62" s="18">
        <f>(COUNTIF($J$12:$J$51,"Exemplary"))/(COUNTA($J$12:$J$51))</f>
        <v>0</v>
      </c>
      <c r="I62" s="107">
        <f t="shared" si="0"/>
        <v>0</v>
      </c>
    </row>
    <row r="78" spans="2:10" ht="21.75" customHeight="1" x14ac:dyDescent="0.25"/>
    <row r="79" spans="2:10" ht="15" customHeight="1" x14ac:dyDescent="0.25">
      <c r="B79" s="133" t="s">
        <v>143</v>
      </c>
      <c r="C79" s="133"/>
      <c r="D79" s="133"/>
      <c r="E79" s="133"/>
      <c r="F79" s="133"/>
      <c r="G79" s="133"/>
      <c r="H79" s="133"/>
      <c r="I79" s="133"/>
      <c r="J79" s="133"/>
    </row>
    <row r="80" spans="2:10" ht="18.95" customHeight="1" x14ac:dyDescent="0.25">
      <c r="B80" s="98"/>
      <c r="C80" s="99"/>
      <c r="D80" s="99"/>
      <c r="E80" s="99"/>
      <c r="F80" s="99"/>
      <c r="G80" s="99"/>
      <c r="H80" s="99"/>
      <c r="I80" s="99"/>
      <c r="J80" s="100"/>
    </row>
    <row r="81" spans="2:10" ht="18.95" customHeight="1" x14ac:dyDescent="0.25">
      <c r="B81" s="101"/>
      <c r="C81" s="102"/>
      <c r="D81" s="102"/>
      <c r="E81" s="102"/>
      <c r="F81" s="102"/>
      <c r="G81" s="102"/>
      <c r="H81" s="102"/>
      <c r="I81" s="102"/>
      <c r="J81" s="103"/>
    </row>
    <row r="82" spans="2:10" ht="18.95" customHeight="1" x14ac:dyDescent="0.25">
      <c r="B82" s="101"/>
      <c r="C82" s="102"/>
      <c r="D82" s="102"/>
      <c r="E82" s="102"/>
      <c r="F82" s="102"/>
      <c r="G82" s="102"/>
      <c r="H82" s="102"/>
      <c r="I82" s="102"/>
      <c r="J82" s="103"/>
    </row>
    <row r="83" spans="2:10" ht="18.95" customHeight="1" x14ac:dyDescent="0.25">
      <c r="B83" s="101"/>
      <c r="C83" s="102"/>
      <c r="D83" s="102"/>
      <c r="E83" s="102"/>
      <c r="F83" s="102"/>
      <c r="G83" s="102"/>
      <c r="H83" s="102"/>
      <c r="I83" s="102"/>
      <c r="J83" s="103"/>
    </row>
    <row r="84" spans="2:10" ht="18.95" customHeight="1" x14ac:dyDescent="0.25">
      <c r="B84" s="101"/>
      <c r="C84" s="102"/>
      <c r="D84" s="102"/>
      <c r="E84" s="102"/>
      <c r="F84" s="102"/>
      <c r="G84" s="102"/>
      <c r="H84" s="102"/>
      <c r="I84" s="102"/>
      <c r="J84" s="103"/>
    </row>
    <row r="85" spans="2:10" ht="18.95" customHeight="1" x14ac:dyDescent="0.25">
      <c r="B85" s="101"/>
      <c r="C85" s="102"/>
      <c r="D85" s="102"/>
      <c r="E85" s="102"/>
      <c r="F85" s="102"/>
      <c r="G85" s="102"/>
      <c r="H85" s="102"/>
      <c r="I85" s="102"/>
      <c r="J85" s="103"/>
    </row>
    <row r="86" spans="2:10" ht="18.95" customHeight="1" x14ac:dyDescent="0.25">
      <c r="B86" s="101"/>
      <c r="C86" s="102"/>
      <c r="D86" s="102"/>
      <c r="E86" s="102"/>
      <c r="F86" s="102"/>
      <c r="G86" s="102"/>
      <c r="H86" s="102"/>
      <c r="I86" s="102"/>
      <c r="J86" s="103"/>
    </row>
    <row r="87" spans="2:10" ht="15" customHeight="1" x14ac:dyDescent="0.25">
      <c r="B87" s="104"/>
      <c r="C87" s="105"/>
      <c r="D87" s="105"/>
      <c r="E87" s="105"/>
      <c r="F87" s="105"/>
      <c r="G87" s="105"/>
      <c r="H87" s="105"/>
      <c r="I87" s="105"/>
      <c r="J87" s="106"/>
    </row>
  </sheetData>
  <mergeCells count="12">
    <mergeCell ref="B79:J79"/>
    <mergeCell ref="B1:J1"/>
    <mergeCell ref="B2:J2"/>
    <mergeCell ref="B4:C4"/>
    <mergeCell ref="B5:C5"/>
    <mergeCell ref="B7:C7"/>
    <mergeCell ref="D7:E7"/>
    <mergeCell ref="B8:C8"/>
    <mergeCell ref="D8:E8"/>
    <mergeCell ref="E10:J10"/>
    <mergeCell ref="B53:J53"/>
    <mergeCell ref="E55:H55"/>
  </mergeCells>
  <conditionalFormatting sqref="J52">
    <cfRule type="cellIs" dxfId="59" priority="12" stopIfTrue="1" operator="equal">
      <formula>"Inadequate"</formula>
    </cfRule>
    <cfRule type="cellIs" dxfId="58" priority="13" stopIfTrue="1" operator="equal">
      <formula>"Adequate"</formula>
    </cfRule>
    <cfRule type="cellIs" dxfId="57" priority="14" stopIfTrue="1" operator="equal">
      <formula>"Exemplary"</formula>
    </cfRule>
    <cfRule type="cellIs" dxfId="56" priority="15" stopIfTrue="1" operator="equal">
      <formula>"Poor"</formula>
    </cfRule>
  </conditionalFormatting>
  <conditionalFormatting sqref="E52:F52">
    <cfRule type="cellIs" dxfId="55" priority="16" stopIfTrue="1" operator="equal">
      <formula>"Inadequate"</formula>
    </cfRule>
    <cfRule type="cellIs" dxfId="54" priority="17" stopIfTrue="1" operator="equal">
      <formula>"Adequate"</formula>
    </cfRule>
    <cfRule type="cellIs" dxfId="53" priority="18" stopIfTrue="1" operator="equal">
      <formula>"Exemplary"</formula>
    </cfRule>
    <cfRule type="cellIs" dxfId="52" priority="19" stopIfTrue="1" operator="equal">
      <formula>"Poor"</formula>
    </cfRule>
  </conditionalFormatting>
  <conditionalFormatting sqref="G52:I52">
    <cfRule type="cellIs" dxfId="51" priority="8" stopIfTrue="1" operator="equal">
      <formula>"Inadequate"</formula>
    </cfRule>
    <cfRule type="cellIs" dxfId="50" priority="9" stopIfTrue="1" operator="equal">
      <formula>"Adequate"</formula>
    </cfRule>
    <cfRule type="cellIs" dxfId="49" priority="10" stopIfTrue="1" operator="equal">
      <formula>"Exemplary"</formula>
    </cfRule>
    <cfRule type="cellIs" dxfId="48" priority="11" stopIfTrue="1" operator="equal">
      <formula>"Poor"</formula>
    </cfRule>
  </conditionalFormatting>
  <conditionalFormatting sqref="E57:H59">
    <cfRule type="containsErrors" dxfId="47" priority="7" stopIfTrue="1">
      <formula>ISERROR(E57)</formula>
    </cfRule>
  </conditionalFormatting>
  <conditionalFormatting sqref="I57:I59">
    <cfRule type="containsErrors" dxfId="46" priority="6" stopIfTrue="1">
      <formula>ISERROR(I57)</formula>
    </cfRule>
  </conditionalFormatting>
  <conditionalFormatting sqref="E61:H61">
    <cfRule type="containsErrors" dxfId="45" priority="2" stopIfTrue="1">
      <formula>ISERROR(E61)</formula>
    </cfRule>
  </conditionalFormatting>
  <conditionalFormatting sqref="E62:H62">
    <cfRule type="containsErrors" dxfId="44" priority="5" stopIfTrue="1">
      <formula>ISERROR(E62)</formula>
    </cfRule>
  </conditionalFormatting>
  <conditionalFormatting sqref="I61:I62">
    <cfRule type="containsErrors" dxfId="43" priority="4" stopIfTrue="1">
      <formula>ISERROR(I61)</formula>
    </cfRule>
  </conditionalFormatting>
  <conditionalFormatting sqref="E60:H60">
    <cfRule type="containsErrors" dxfId="42" priority="3" stopIfTrue="1">
      <formula>ISERROR(E60)</formula>
    </cfRule>
  </conditionalFormatting>
  <conditionalFormatting sqref="I57:I60">
    <cfRule type="containsErrors" dxfId="41" priority="1" stopIfTrue="1">
      <formula>ISERROR(I57)</formula>
    </cfRule>
  </conditionalFormatting>
  <dataValidations count="1">
    <dataValidation type="list" allowBlank="1" showInputMessage="1" showErrorMessage="1" sqref="E12:J51" xr:uid="{00000000-0002-0000-1600-000000000000}">
      <formula1>$G$5:$G$8</formula1>
    </dataValidation>
  </dataValidations>
  <pageMargins left="0.7" right="0.7" top="0.75" bottom="0.75" header="0.3" footer="0.3"/>
  <pageSetup paperSize="9" scale="45" orientation="portrait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ommandButton1">
          <controlPr defaultSize="0" autoLine="0" r:id="rId5">
            <anchor moveWithCells="1">
              <from>
                <xdr:col>10</xdr:col>
                <xdr:colOff>381000</xdr:colOff>
                <xdr:row>0</xdr:row>
                <xdr:rowOff>133350</xdr:rowOff>
              </from>
              <to>
                <xdr:col>12</xdr:col>
                <xdr:colOff>676275</xdr:colOff>
                <xdr:row>2</xdr:row>
                <xdr:rowOff>28575</xdr:rowOff>
              </to>
            </anchor>
          </controlPr>
        </control>
      </mc:Choice>
      <mc:Fallback>
        <control shapeId="28673" r:id="rId4" name="CommandButton1"/>
      </mc:Fallback>
    </mc:AlternateContent>
    <mc:AlternateContent xmlns:mc="http://schemas.openxmlformats.org/markup-compatibility/2006">
      <mc:Choice Requires="x14">
        <control shapeId="28674" r:id="rId6" name="CommandButton2">
          <controlPr defaultSize="0" autoLine="0" r:id="rId7">
            <anchor moveWithCells="1">
              <from>
                <xdr:col>10</xdr:col>
                <xdr:colOff>381000</xdr:colOff>
                <xdr:row>3</xdr:row>
                <xdr:rowOff>19050</xdr:rowOff>
              </from>
              <to>
                <xdr:col>12</xdr:col>
                <xdr:colOff>676275</xdr:colOff>
                <xdr:row>5</xdr:row>
                <xdr:rowOff>19050</xdr:rowOff>
              </to>
            </anchor>
          </controlPr>
        </control>
      </mc:Choice>
      <mc:Fallback>
        <control shapeId="28674" r:id="rId6" name="CommandButton2"/>
      </mc:Fallback>
    </mc:AlternateContent>
    <mc:AlternateContent xmlns:mc="http://schemas.openxmlformats.org/markup-compatibility/2006">
      <mc:Choice Requires="x14">
        <control shapeId="28675" r:id="rId8" name="CommandButton3">
          <controlPr defaultSize="0" autoLine="0" r:id="rId9">
            <anchor moveWithCells="1">
              <from>
                <xdr:col>10</xdr:col>
                <xdr:colOff>390525</xdr:colOff>
                <xdr:row>5</xdr:row>
                <xdr:rowOff>66675</xdr:rowOff>
              </from>
              <to>
                <xdr:col>12</xdr:col>
                <xdr:colOff>685800</xdr:colOff>
                <xdr:row>7</xdr:row>
                <xdr:rowOff>171450</xdr:rowOff>
              </to>
            </anchor>
          </controlPr>
        </control>
      </mc:Choice>
      <mc:Fallback>
        <control shapeId="28675" r:id="rId8" name="CommandButton3"/>
      </mc:Fallback>
    </mc:AlternateContent>
    <mc:AlternateContent xmlns:mc="http://schemas.openxmlformats.org/markup-compatibility/2006">
      <mc:Choice Requires="x14">
        <control shapeId="28676" r:id="rId10" name="CommandButton4">
          <controlPr defaultSize="0" autoLine="0" r:id="rId11">
            <anchor moveWithCells="1">
              <from>
                <xdr:col>10</xdr:col>
                <xdr:colOff>409575</xdr:colOff>
                <xdr:row>8</xdr:row>
                <xdr:rowOff>57150</xdr:rowOff>
              </from>
              <to>
                <xdr:col>12</xdr:col>
                <xdr:colOff>685800</xdr:colOff>
                <xdr:row>10</xdr:row>
                <xdr:rowOff>228600</xdr:rowOff>
              </to>
            </anchor>
          </controlPr>
        </control>
      </mc:Choice>
      <mc:Fallback>
        <control shapeId="28676" r:id="rId10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1000000}">
          <x14:formula1>
            <xm:f>'RUBRIC SO#'!$G$6:$G$9</xm:f>
          </x14:formula1>
          <xm:sqref>E52:J52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5">
    <tabColor theme="9" tint="-0.499984740745262"/>
  </sheetPr>
  <dimension ref="B1:V319"/>
  <sheetViews>
    <sheetView showGridLines="0" zoomScale="90" zoomScaleNormal="90" workbookViewId="0">
      <selection activeCell="C2" sqref="C2:U2"/>
    </sheetView>
  </sheetViews>
  <sheetFormatPr baseColWidth="10" defaultColWidth="11.42578125" defaultRowHeight="15" customHeight="1" x14ac:dyDescent="0.25"/>
  <cols>
    <col min="1" max="1" width="1.140625" customWidth="1"/>
    <col min="2" max="2" width="1.85546875" customWidth="1"/>
    <col min="3" max="3" width="15.5703125" customWidth="1"/>
    <col min="4" max="4" width="15.42578125" customWidth="1"/>
    <col min="5" max="5" width="31.5703125" customWidth="1"/>
    <col min="6" max="10" width="22.140625" customWidth="1"/>
    <col min="11" max="11" width="13.85546875" customWidth="1"/>
    <col min="12" max="12" width="5" customWidth="1"/>
    <col min="13" max="13" width="6.28515625" customWidth="1"/>
    <col min="14" max="14" width="2.7109375" customWidth="1"/>
    <col min="15" max="15" width="6.42578125" customWidth="1"/>
    <col min="16" max="16" width="4.42578125" customWidth="1"/>
    <col min="17" max="17" width="6.85546875" customWidth="1"/>
    <col min="18" max="18" width="4.28515625" customWidth="1"/>
    <col min="19" max="19" width="13" customWidth="1"/>
    <col min="20" max="20" width="7.7109375" customWidth="1"/>
    <col min="21" max="21" width="4.85546875" customWidth="1"/>
    <col min="22" max="22" width="2.7109375" customWidth="1"/>
  </cols>
  <sheetData>
    <row r="1" spans="2:22" x14ac:dyDescent="0.25">
      <c r="B1" s="27"/>
      <c r="C1" s="143" t="s">
        <v>145</v>
      </c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28"/>
    </row>
    <row r="2" spans="2:22" ht="23.25" customHeight="1" x14ac:dyDescent="0.25">
      <c r="B2" s="29"/>
      <c r="C2" s="189" t="str">
        <f>+'RUBRIC SO#'!A2&amp;":"&amp;" "&amp;'RUBRIC SO#'!B2</f>
        <v>RA1:  La capacidad de operar los procesos de importación y exportación de acuerdo a la normatividad vigente.</v>
      </c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30"/>
    </row>
    <row r="3" spans="2:22" ht="6" customHeight="1" x14ac:dyDescent="0.25">
      <c r="B3" s="29"/>
      <c r="C3" s="12"/>
      <c r="D3" s="12"/>
      <c r="E3" s="12"/>
      <c r="F3" s="12"/>
      <c r="G3" s="12"/>
      <c r="H3" s="12"/>
      <c r="I3" s="12"/>
      <c r="V3" s="30"/>
    </row>
    <row r="4" spans="2:22" x14ac:dyDescent="0.25">
      <c r="B4" s="29"/>
      <c r="C4" s="161" t="s">
        <v>146</v>
      </c>
      <c r="D4" s="161"/>
      <c r="E4" s="54" t="s">
        <v>117</v>
      </c>
      <c r="F4" s="7" t="s">
        <v>121</v>
      </c>
      <c r="G4" s="7" t="s">
        <v>147</v>
      </c>
      <c r="H4" s="31"/>
      <c r="I4" s="13"/>
      <c r="V4" s="30"/>
    </row>
    <row r="5" spans="2:22" ht="24" customHeight="1" x14ac:dyDescent="0.25">
      <c r="B5" s="29"/>
      <c r="C5" s="162">
        <f>+'EF_ASESSM_SO#_CODIG_MODULO_1'!B5</f>
        <v>0</v>
      </c>
      <c r="D5" s="163"/>
      <c r="E5" s="45">
        <f>+'EF_ASESSM_SO#_CODIG_MODULO_1'!D5</f>
        <v>0</v>
      </c>
      <c r="F5" s="92">
        <f>+'EF_ASESSM_SO#_CODIG_MODULO_1'!D7</f>
        <v>0</v>
      </c>
      <c r="G5" s="92">
        <f>+'EF_ASESSM_SO#_CODIG_MODULO_1'!E5</f>
        <v>0</v>
      </c>
      <c r="H5" s="31"/>
      <c r="V5" s="30"/>
    </row>
    <row r="6" spans="2:22" ht="24" customHeight="1" x14ac:dyDescent="0.25">
      <c r="B6" s="29"/>
      <c r="C6" s="162">
        <f>+'EF_ASESSM_SO#_CODIG_MODULO_2'!B5</f>
        <v>0</v>
      </c>
      <c r="D6" s="163"/>
      <c r="E6" s="45">
        <f>+'EF_ASESSM_SO#_CODIG_MODULO_2'!D5</f>
        <v>0</v>
      </c>
      <c r="F6" s="92">
        <f>+'EF_ASESSM_SO#_CODIG_MODULO_2'!D7</f>
        <v>0</v>
      </c>
      <c r="G6" s="92">
        <f>+'EF_ASESSM_SO#_CODIG_MODULO_2'!E5</f>
        <v>0</v>
      </c>
      <c r="H6" s="31"/>
      <c r="V6" s="30"/>
    </row>
    <row r="7" spans="2:22" ht="24" customHeight="1" x14ac:dyDescent="0.25">
      <c r="B7" s="29"/>
      <c r="C7" s="162">
        <f>+'EF_ASESSM_SO#_CODIG_MODULO_3'!B5</f>
        <v>0</v>
      </c>
      <c r="D7" s="163"/>
      <c r="E7" s="45">
        <f>+'EF_ASESSM_SO#_CODIG_MODULO_3'!D5</f>
        <v>0</v>
      </c>
      <c r="F7" s="92">
        <f>+'EF_ASESSM_SO#_CODIG_MODULO_3'!D7</f>
        <v>0</v>
      </c>
      <c r="G7" s="92">
        <f>+'EF_ASESSM_SO#_CODIG_MODULO_3'!E5</f>
        <v>0</v>
      </c>
      <c r="H7" s="31"/>
      <c r="V7" s="30"/>
    </row>
    <row r="8" spans="2:22" ht="24" customHeight="1" x14ac:dyDescent="0.25">
      <c r="B8" s="29"/>
      <c r="C8" s="162">
        <f>+'EF_ASESSM_SO#_CODIG_MODULO_4'!B5</f>
        <v>0</v>
      </c>
      <c r="D8" s="163"/>
      <c r="E8" s="45">
        <f>+'EF_ASESSM_SO#_CODIG_MODULO_4'!D5</f>
        <v>0</v>
      </c>
      <c r="F8" s="92">
        <f>+'EF_ASESSM_SO#_CODIG_MODULO_4'!D7</f>
        <v>0</v>
      </c>
      <c r="G8" s="92">
        <f>+'EF_ASESSM_SO#_CODIG_MODULO_4'!E5</f>
        <v>0</v>
      </c>
      <c r="H8" s="31"/>
      <c r="V8" s="30"/>
    </row>
    <row r="9" spans="2:22" ht="24" customHeight="1" x14ac:dyDescent="0.25">
      <c r="B9" s="29"/>
      <c r="C9" s="162">
        <f>+'EF_ASESSM_SO#_CODIG_MODULO_5'!B5</f>
        <v>0</v>
      </c>
      <c r="D9" s="163"/>
      <c r="E9" s="45">
        <f>+'EF_ASESSM_SO#_CODIG_MODULO_5'!D5</f>
        <v>0</v>
      </c>
      <c r="F9" s="92">
        <f>+'EF_ASESSM_SO#_CODIG_MODULO_5'!D7</f>
        <v>0</v>
      </c>
      <c r="G9" s="92">
        <f>+'EF_ASESSM_SO#_CODIG_MODULO_5'!E5</f>
        <v>0</v>
      </c>
      <c r="H9" s="31"/>
      <c r="V9" s="30"/>
    </row>
    <row r="10" spans="2:22" ht="24" customHeight="1" x14ac:dyDescent="0.25">
      <c r="B10" s="29"/>
      <c r="C10" s="162">
        <f>+'EF_ASESSM_SO#_CODIG_MODULO_6'!B5</f>
        <v>0</v>
      </c>
      <c r="D10" s="163"/>
      <c r="E10" s="45">
        <f>+'EF_ASESSM_SO#_CODIG_MODULO_6'!D5</f>
        <v>0</v>
      </c>
      <c r="F10" s="92">
        <f>+'EF_ASESSM_SO#_CODIG_MODULO_6'!D7</f>
        <v>0</v>
      </c>
      <c r="G10" s="92">
        <f>+'EF_ASESSM_SO#_CODIG_MODULO_6'!E5</f>
        <v>0</v>
      </c>
      <c r="H10" s="31"/>
      <c r="V10" s="30"/>
    </row>
    <row r="11" spans="2:22" ht="24" customHeight="1" x14ac:dyDescent="0.25">
      <c r="B11" s="29"/>
      <c r="C11" s="162">
        <f>+'EF_ASESSM_SO#_CODIG_MODULO_7'!B5</f>
        <v>0</v>
      </c>
      <c r="D11" s="163"/>
      <c r="E11" s="45">
        <f>+'EF_ASESSM_SO#_CODIG_MODULO_7'!D5</f>
        <v>0</v>
      </c>
      <c r="F11" s="92">
        <f>+'EF_ASESSM_SO#_CODIG_MODULO_7'!D7</f>
        <v>0</v>
      </c>
      <c r="G11" s="92">
        <f>+'EF_ASESSM_SO#_CODIG_MODULO_7'!E5</f>
        <v>0</v>
      </c>
      <c r="H11" s="115"/>
      <c r="V11" s="30"/>
    </row>
    <row r="12" spans="2:22" ht="24" customHeight="1" x14ac:dyDescent="0.25">
      <c r="B12" s="29"/>
      <c r="C12" s="162">
        <f>+'EF_ASESSM_SO#_CODIG_MODULO_8'!B5</f>
        <v>0</v>
      </c>
      <c r="D12" s="163"/>
      <c r="E12" s="45">
        <f>+'EF_ASESSM_SO#_CODIG_MODULO_8'!D5</f>
        <v>0</v>
      </c>
      <c r="F12" s="92">
        <f>+'EF_ASESSM_SO#_CODIG_MODULO_8'!D7</f>
        <v>0</v>
      </c>
      <c r="G12" s="92">
        <f>+'EF_ASESSM_SO#_CODIG_MODULO_8'!E5</f>
        <v>0</v>
      </c>
      <c r="H12" s="31"/>
      <c r="V12" s="30"/>
    </row>
    <row r="13" spans="2:22" ht="24" customHeight="1" x14ac:dyDescent="0.25">
      <c r="B13" s="29"/>
      <c r="C13" s="160">
        <f>+'EF_ASESSM_SO#_CODIG_MODULO_9'!B5</f>
        <v>0</v>
      </c>
      <c r="D13" s="160"/>
      <c r="E13" s="45">
        <f>+'EF_ASESSM_SO#_CODIG_MODULO_9'!D5</f>
        <v>0</v>
      </c>
      <c r="F13" s="92">
        <f>+'EF_ASESSM_SO#_CODIG_MODULO_9'!D7</f>
        <v>0</v>
      </c>
      <c r="G13" s="92">
        <f>+'EF_ASESSM_SO#_CODIG_MODULO_9'!E5</f>
        <v>0</v>
      </c>
      <c r="H13" s="31"/>
      <c r="V13" s="30"/>
    </row>
    <row r="14" spans="2:22" ht="24" customHeight="1" x14ac:dyDescent="0.25">
      <c r="B14" s="29"/>
      <c r="C14" s="160">
        <f>+'EF_ASESSM_SO#_CODIG_MODULO_10'!B5</f>
        <v>0</v>
      </c>
      <c r="D14" s="160"/>
      <c r="E14" s="45">
        <f>+'EF_ASESSM_SO#_CODIG_MODULO_10'!D5</f>
        <v>0</v>
      </c>
      <c r="F14" s="92">
        <f>+'EF_ASESSM_SO#_CODIG_MODULO_10'!D7</f>
        <v>0</v>
      </c>
      <c r="G14" s="92">
        <f>+'EF_ASESSM_SO#_CODIG_MODULO_10'!E5</f>
        <v>0</v>
      </c>
      <c r="H14" s="31"/>
      <c r="V14" s="30"/>
    </row>
    <row r="15" spans="2:22" ht="24" customHeight="1" x14ac:dyDescent="0.25">
      <c r="B15" s="29"/>
      <c r="C15" s="160">
        <f>+'EF_ASESSM_SO#_CODIG_MODULO_11'!B5</f>
        <v>0</v>
      </c>
      <c r="D15" s="160"/>
      <c r="E15" s="45">
        <f>+'EF_ASESSM_SO#_CODIG_MODULO_11'!D5</f>
        <v>0</v>
      </c>
      <c r="F15" s="92">
        <f>+'EF_ASESSM_SO#_CODIG_MODULO_11'!D7</f>
        <v>0</v>
      </c>
      <c r="G15" s="92">
        <f>+'EF_ASESSM_SO#_CODIG_MODULO_11'!E5</f>
        <v>0</v>
      </c>
      <c r="H15" s="31"/>
      <c r="V15" s="30"/>
    </row>
    <row r="16" spans="2:22" ht="24" customHeight="1" x14ac:dyDescent="0.25">
      <c r="B16" s="29"/>
      <c r="C16" s="160">
        <f>+'EF_ASESSM_SO#_CODIG_MODULO_12'!B5</f>
        <v>0</v>
      </c>
      <c r="D16" s="160"/>
      <c r="E16" s="45">
        <f>+'EF_ASESSM_SO#_CODIG_MODULO_12'!D5</f>
        <v>0</v>
      </c>
      <c r="F16" s="92">
        <f>+'EF_ASESSM_SO#_CODIG_MODULO_12'!D7</f>
        <v>0</v>
      </c>
      <c r="G16" s="92">
        <f>+'EF_ASESSM_SO#_CODIG_MODULO_12'!E5</f>
        <v>0</v>
      </c>
      <c r="H16" s="31"/>
      <c r="V16" s="30"/>
    </row>
    <row r="17" spans="2:22" ht="24" customHeight="1" x14ac:dyDescent="0.25">
      <c r="B17" s="29"/>
      <c r="C17" s="160">
        <f>+'EF_ASESSM_SO#_CODIG_MODULO_13'!B5</f>
        <v>0</v>
      </c>
      <c r="D17" s="160"/>
      <c r="E17" s="45">
        <f>+'EF_ASESSM_SO#_CODIG_MODULO_13'!D5</f>
        <v>0</v>
      </c>
      <c r="F17" s="92">
        <f>+'EF_ASESSM_SO#_CODIG_MODULO_13'!D7</f>
        <v>0</v>
      </c>
      <c r="G17" s="92">
        <f>+'EF_ASESSM_SO#_CODIG_MODULO_13'!E5</f>
        <v>0</v>
      </c>
      <c r="H17" s="31"/>
      <c r="V17" s="30"/>
    </row>
    <row r="18" spans="2:22" ht="24" customHeight="1" x14ac:dyDescent="0.25">
      <c r="B18" s="29"/>
      <c r="C18" s="160">
        <f>+'EF_ASESSM_SO#_CODIG_MODULO_14'!B5</f>
        <v>0</v>
      </c>
      <c r="D18" s="160"/>
      <c r="E18" s="45">
        <f>+'EF_ASESSM_SO#_CODIG_MODULO_14'!D5</f>
        <v>0</v>
      </c>
      <c r="F18" s="92">
        <f>+'EF_ASESSM_SO#_CODIG_MODULO_14'!D7</f>
        <v>0</v>
      </c>
      <c r="G18" s="92">
        <f>+'EF_ASESSM_SO#_CODIG_MODULO_14'!E5</f>
        <v>0</v>
      </c>
      <c r="H18" s="31"/>
      <c r="V18" s="30"/>
    </row>
    <row r="19" spans="2:22" ht="24" customHeight="1" x14ac:dyDescent="0.25">
      <c r="B19" s="29"/>
      <c r="C19" s="160">
        <f>+'EF_ASESSM_SO#_CODIG_MODULO_15'!B5</f>
        <v>0</v>
      </c>
      <c r="D19" s="160"/>
      <c r="E19" s="45">
        <f>+'EF_ASESSM_SO#_CODIG_MODULO_15'!D5</f>
        <v>0</v>
      </c>
      <c r="F19" s="92">
        <f>+'EF_ASESSM_SO#_CODIG_MODULO_15'!D7</f>
        <v>0</v>
      </c>
      <c r="G19" s="92">
        <f>+'EF_ASESSM_SO#_CODIG_MODULO_15'!E5</f>
        <v>0</v>
      </c>
      <c r="H19" s="31"/>
      <c r="V19" s="30"/>
    </row>
    <row r="20" spans="2:22" x14ac:dyDescent="0.25">
      <c r="B20" s="29"/>
      <c r="C20" s="8"/>
      <c r="D20" s="9"/>
      <c r="E20" s="8"/>
      <c r="F20" s="190" t="s">
        <v>148</v>
      </c>
      <c r="G20" s="92">
        <f>+SUM(G5:G19)</f>
        <v>0</v>
      </c>
      <c r="H20" s="8"/>
      <c r="V20" s="30"/>
    </row>
    <row r="21" spans="2:22" x14ac:dyDescent="0.25">
      <c r="B21" s="29"/>
      <c r="C21" s="8"/>
      <c r="D21" s="9"/>
      <c r="E21" s="8"/>
      <c r="F21" s="8"/>
      <c r="G21" s="13"/>
      <c r="V21" s="30"/>
    </row>
    <row r="22" spans="2:22" x14ac:dyDescent="0.25">
      <c r="B22" s="29"/>
      <c r="C22" s="192" t="s">
        <v>123</v>
      </c>
      <c r="D22" s="192"/>
      <c r="E22" s="193"/>
      <c r="F22" s="193"/>
      <c r="H22" s="13"/>
      <c r="I22" s="13"/>
      <c r="V22" s="30"/>
    </row>
    <row r="23" spans="2:22" ht="15" customHeight="1" x14ac:dyDescent="0.25">
      <c r="B23" s="29"/>
      <c r="C23" s="192" t="s">
        <v>149</v>
      </c>
      <c r="D23" s="192"/>
      <c r="E23" s="193"/>
      <c r="F23" s="193"/>
      <c r="G23" s="13"/>
      <c r="H23" s="13"/>
      <c r="I23" s="13"/>
      <c r="V23" s="30"/>
    </row>
    <row r="24" spans="2:22" ht="11.25" customHeight="1" x14ac:dyDescent="0.25">
      <c r="B24" s="29"/>
      <c r="C24" s="14"/>
      <c r="D24" s="14"/>
      <c r="E24" s="8"/>
      <c r="F24" s="8"/>
      <c r="G24" s="13"/>
      <c r="H24" s="13"/>
      <c r="I24" s="13"/>
      <c r="V24" s="30"/>
    </row>
    <row r="25" spans="2:22" ht="15" customHeight="1" x14ac:dyDescent="0.25">
      <c r="B25" s="29"/>
      <c r="C25" s="133" t="s">
        <v>150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30"/>
    </row>
    <row r="26" spans="2:22" ht="7.5" customHeight="1" x14ac:dyDescent="0.25">
      <c r="B26" s="29"/>
      <c r="C26" s="12"/>
      <c r="D26" s="12"/>
      <c r="E26" s="12"/>
      <c r="F26" s="12"/>
      <c r="G26" s="12"/>
      <c r="H26" s="12"/>
      <c r="I26" s="12"/>
      <c r="V26" s="30"/>
    </row>
    <row r="27" spans="2:22" ht="15" customHeight="1" x14ac:dyDescent="0.25">
      <c r="B27" s="29"/>
      <c r="C27" s="145" t="s">
        <v>151</v>
      </c>
      <c r="D27" s="146"/>
      <c r="E27" s="153" t="str">
        <f>+'RUBRIC SO#'!A7</f>
        <v>Identificar los procedimientos generales para exportación e importación de bienes, tanto al interior de la empresa como ante terceros.
(Claridad, pertinencia y coherencia)</v>
      </c>
      <c r="F27" s="154"/>
      <c r="G27" s="154"/>
      <c r="H27" s="154"/>
      <c r="I27" s="154"/>
      <c r="J27" s="154"/>
      <c r="K27" s="154"/>
      <c r="L27" s="154"/>
      <c r="M27" s="154"/>
      <c r="N27" s="154"/>
      <c r="O27" s="154"/>
      <c r="P27" s="154"/>
      <c r="Q27" s="154"/>
      <c r="R27" s="154"/>
      <c r="S27" s="154"/>
      <c r="T27" s="154"/>
      <c r="U27" s="155"/>
      <c r="V27" s="30"/>
    </row>
    <row r="28" spans="2:22" ht="15" customHeight="1" x14ac:dyDescent="0.25">
      <c r="B28" s="29"/>
      <c r="C28" s="134"/>
      <c r="D28" s="135"/>
      <c r="E28" s="156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8"/>
      <c r="V28" s="30"/>
    </row>
    <row r="29" spans="2:22" ht="6.75" customHeight="1" x14ac:dyDescent="0.25">
      <c r="B29" s="29"/>
      <c r="V29" s="30"/>
    </row>
    <row r="30" spans="2:22" ht="15" customHeight="1" x14ac:dyDescent="0.25">
      <c r="B30" s="29"/>
      <c r="F30" s="46" t="s">
        <v>119</v>
      </c>
      <c r="G30" s="46" t="s">
        <v>120</v>
      </c>
      <c r="H30" s="46" t="s">
        <v>122</v>
      </c>
      <c r="I30" s="46" t="s">
        <v>124</v>
      </c>
      <c r="V30" s="30"/>
    </row>
    <row r="31" spans="2:22" ht="15" customHeight="1" x14ac:dyDescent="0.25">
      <c r="B31" s="29"/>
      <c r="F31" s="159" t="s">
        <v>130</v>
      </c>
      <c r="G31" s="159"/>
      <c r="H31" s="159"/>
      <c r="I31" s="159"/>
      <c r="J31" s="167" t="str">
        <f>IF(F48=J48,'RUBRIC SO#'!B7,IF(G48=J48,'RUBRIC SO#'!C7,IF(H48=J48,'RUBRIC SO#'!D7,IF(I48=J48,'RUBRIC SO#'!E7,"Error"))))</f>
        <v>No identifica los procedimientos generales para exportaciones e importaciones.</v>
      </c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9"/>
      <c r="V31" s="30"/>
    </row>
    <row r="32" spans="2:22" ht="15" customHeight="1" x14ac:dyDescent="0.25">
      <c r="B32" s="29"/>
      <c r="F32" s="2" t="s">
        <v>132</v>
      </c>
      <c r="G32" s="3" t="s">
        <v>133</v>
      </c>
      <c r="H32" s="4" t="s">
        <v>134</v>
      </c>
      <c r="I32" s="5" t="s">
        <v>135</v>
      </c>
      <c r="J32" s="170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2"/>
      <c r="V32" s="30"/>
    </row>
    <row r="33" spans="2:22" ht="24" customHeight="1" x14ac:dyDescent="0.25">
      <c r="B33" s="29"/>
      <c r="E33" s="20">
        <f>IFERROR(E5,0)</f>
        <v>0</v>
      </c>
      <c r="F33" s="93">
        <f>'EF_ASESSM_SO#_CODIG_MODULO_1'!E57</f>
        <v>0</v>
      </c>
      <c r="G33" s="93">
        <f>'EF_ASESSM_SO#_CODIG_MODULO_1'!F57</f>
        <v>0</v>
      </c>
      <c r="H33" s="93">
        <f>'EF_ASESSM_SO#_CODIG_MODULO_1'!G57</f>
        <v>0</v>
      </c>
      <c r="I33" s="93">
        <f>'EF_ASESSM_SO#_CODIG_MODULO_1'!H57</f>
        <v>0</v>
      </c>
      <c r="J33" s="170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2"/>
      <c r="V33" s="30"/>
    </row>
    <row r="34" spans="2:22" ht="24" customHeight="1" x14ac:dyDescent="0.25">
      <c r="B34" s="29"/>
      <c r="E34" s="20">
        <f t="shared" ref="E34:E47" si="0">IFERROR(E6,0)</f>
        <v>0</v>
      </c>
      <c r="F34" s="94">
        <f>+'EF_ASESSM_SO#_CODIG_MODULO_2'!E57</f>
        <v>0</v>
      </c>
      <c r="G34" s="94">
        <f>+'EF_ASESSM_SO#_CODIG_MODULO_2'!F57</f>
        <v>0</v>
      </c>
      <c r="H34" s="94">
        <f>+'EF_ASESSM_SO#_CODIG_MODULO_2'!G57</f>
        <v>0</v>
      </c>
      <c r="I34" s="94">
        <f>+'EF_ASESSM_SO#_CODIG_MODULO_2'!H57</f>
        <v>0</v>
      </c>
      <c r="J34" s="170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2"/>
      <c r="V34" s="30"/>
    </row>
    <row r="35" spans="2:22" ht="24" customHeight="1" x14ac:dyDescent="0.25">
      <c r="B35" s="29"/>
      <c r="E35" s="20">
        <f t="shared" si="0"/>
        <v>0</v>
      </c>
      <c r="F35" s="94">
        <f>+'EF_ASESSM_SO#_CODIG_MODULO_3'!E57</f>
        <v>0</v>
      </c>
      <c r="G35" s="94">
        <f>+'EF_ASESSM_SO#_CODIG_MODULO_3'!F57</f>
        <v>0</v>
      </c>
      <c r="H35" s="94">
        <f>+'EF_ASESSM_SO#_CODIG_MODULO_3'!G57</f>
        <v>0</v>
      </c>
      <c r="I35" s="94">
        <f>+'EF_ASESSM_SO#_CODIG_MODULO_3'!H57</f>
        <v>0</v>
      </c>
      <c r="J35" s="170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2"/>
      <c r="V35" s="30"/>
    </row>
    <row r="36" spans="2:22" ht="24" customHeight="1" x14ac:dyDescent="0.25">
      <c r="B36" s="29"/>
      <c r="E36" s="20">
        <f t="shared" si="0"/>
        <v>0</v>
      </c>
      <c r="F36" s="94">
        <f>+'EF_ASESSM_SO#_CODIG_MODULO_4'!E57</f>
        <v>0</v>
      </c>
      <c r="G36" s="94">
        <f>+'EF_ASESSM_SO#_CODIG_MODULO_4'!F57</f>
        <v>0</v>
      </c>
      <c r="H36" s="94">
        <f>+'EF_ASESSM_SO#_CODIG_MODULO_4'!G57</f>
        <v>0</v>
      </c>
      <c r="I36" s="94">
        <f>+'EF_ASESSM_SO#_CODIG_MODULO_4'!H57</f>
        <v>0</v>
      </c>
      <c r="J36" s="170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2"/>
      <c r="V36" s="30"/>
    </row>
    <row r="37" spans="2:22" ht="24" customHeight="1" x14ac:dyDescent="0.25">
      <c r="B37" s="29"/>
      <c r="E37" s="20">
        <f t="shared" si="0"/>
        <v>0</v>
      </c>
      <c r="F37" s="94">
        <f>+'EF_ASESSM_SO#_CODIG_MODULO_5'!E57</f>
        <v>0</v>
      </c>
      <c r="G37" s="94">
        <f>+'EF_ASESSM_SO#_CODIG_MODULO_5'!F57</f>
        <v>0</v>
      </c>
      <c r="H37" s="94">
        <f>+'EF_ASESSM_SO#_CODIG_MODULO_5'!G57</f>
        <v>0</v>
      </c>
      <c r="I37" s="94">
        <f>+'EF_ASESSM_SO#_CODIG_MODULO_5'!H57</f>
        <v>0</v>
      </c>
      <c r="J37" s="170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2"/>
      <c r="V37" s="30"/>
    </row>
    <row r="38" spans="2:22" ht="24" customHeight="1" x14ac:dyDescent="0.25">
      <c r="B38" s="29"/>
      <c r="E38" s="20">
        <f t="shared" si="0"/>
        <v>0</v>
      </c>
      <c r="F38" s="94">
        <f>+'EF_ASESSM_SO#_CODIG_MODULO_6'!E57</f>
        <v>0</v>
      </c>
      <c r="G38" s="94">
        <f>+'EF_ASESSM_SO#_CODIG_MODULO_6'!F57</f>
        <v>0</v>
      </c>
      <c r="H38" s="94">
        <f>+'EF_ASESSM_SO#_CODIG_MODULO_6'!G57</f>
        <v>0</v>
      </c>
      <c r="I38" s="94">
        <f>+'EF_ASESSM_SO#_CODIG_MODULO_6'!H57</f>
        <v>0</v>
      </c>
      <c r="J38" s="170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2"/>
      <c r="V38" s="30"/>
    </row>
    <row r="39" spans="2:22" ht="24" customHeight="1" x14ac:dyDescent="0.25">
      <c r="B39" s="29"/>
      <c r="E39" s="20">
        <f t="shared" si="0"/>
        <v>0</v>
      </c>
      <c r="F39" s="94">
        <f>+'EF_ASESSM_SO#_CODIG_MODULO_7'!E57</f>
        <v>0</v>
      </c>
      <c r="G39" s="94">
        <f>+'EF_ASESSM_SO#_CODIG_MODULO_7'!F57</f>
        <v>0</v>
      </c>
      <c r="H39" s="94">
        <f>+'EF_ASESSM_SO#_CODIG_MODULO_7'!G57</f>
        <v>0</v>
      </c>
      <c r="I39" s="94">
        <f>+'EF_ASESSM_SO#_CODIG_MODULO_7'!H57</f>
        <v>0</v>
      </c>
      <c r="J39" s="170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2"/>
      <c r="V39" s="30"/>
    </row>
    <row r="40" spans="2:22" ht="24" customHeight="1" x14ac:dyDescent="0.25">
      <c r="B40" s="29"/>
      <c r="D40">
        <v>8</v>
      </c>
      <c r="E40" s="20">
        <f t="shared" si="0"/>
        <v>0</v>
      </c>
      <c r="F40" s="94">
        <f>+'EF_ASESSM_SO#_CODIG_MODULO_8'!E57</f>
        <v>0</v>
      </c>
      <c r="G40" s="94">
        <f>+'EF_ASESSM_SO#_CODIG_MODULO_8'!F57</f>
        <v>0</v>
      </c>
      <c r="H40" s="94">
        <f>+'EF_ASESSM_SO#_CODIG_MODULO_8'!G57</f>
        <v>0</v>
      </c>
      <c r="I40" s="94">
        <f>+'EF_ASESSM_SO#_CODIG_MODULO_8'!H57</f>
        <v>0</v>
      </c>
      <c r="J40" s="170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2"/>
      <c r="V40" s="30"/>
    </row>
    <row r="41" spans="2:22" ht="24" customHeight="1" x14ac:dyDescent="0.25">
      <c r="B41" s="29"/>
      <c r="D41">
        <v>9</v>
      </c>
      <c r="E41" s="20">
        <f t="shared" si="0"/>
        <v>0</v>
      </c>
      <c r="F41" s="94">
        <f>+'EF_ASESSM_SO#_CODIG_MODULO_9'!E57</f>
        <v>0</v>
      </c>
      <c r="G41" s="94">
        <f>+'EF_ASESSM_SO#_CODIG_MODULO_9'!F57</f>
        <v>0</v>
      </c>
      <c r="H41" s="94">
        <f>+'EF_ASESSM_SO#_CODIG_MODULO_9'!G57</f>
        <v>0</v>
      </c>
      <c r="I41" s="94">
        <f>+'EF_ASESSM_SO#_CODIG_MODULO_9'!H57</f>
        <v>0</v>
      </c>
      <c r="J41" s="170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2"/>
      <c r="V41" s="30"/>
    </row>
    <row r="42" spans="2:22" ht="24" customHeight="1" x14ac:dyDescent="0.25">
      <c r="B42" s="29"/>
      <c r="D42">
        <v>10</v>
      </c>
      <c r="E42" s="20">
        <f t="shared" si="0"/>
        <v>0</v>
      </c>
      <c r="F42" s="94">
        <f>+'EF_ASESSM_SO#_CODIG_MODULO_10'!E57</f>
        <v>0</v>
      </c>
      <c r="G42" s="94">
        <f>+'EF_ASESSM_SO#_CODIG_MODULO_10'!F57</f>
        <v>0</v>
      </c>
      <c r="H42" s="94">
        <f>+'EF_ASESSM_SO#_CODIG_MODULO_10'!G57</f>
        <v>0</v>
      </c>
      <c r="I42" s="94">
        <f>+'EF_ASESSM_SO#_CODIG_MODULO_10'!H57</f>
        <v>0</v>
      </c>
      <c r="J42" s="170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2"/>
      <c r="V42" s="30"/>
    </row>
    <row r="43" spans="2:22" ht="24" customHeight="1" x14ac:dyDescent="0.25">
      <c r="B43" s="29"/>
      <c r="D43">
        <v>11</v>
      </c>
      <c r="E43" s="20">
        <f t="shared" si="0"/>
        <v>0</v>
      </c>
      <c r="F43" s="94">
        <f>+'EF_ASESSM_SO#_CODIG_MODULO_11'!E57</f>
        <v>0</v>
      </c>
      <c r="G43" s="94">
        <f>+'EF_ASESSM_SO#_CODIG_MODULO_11'!F57</f>
        <v>0</v>
      </c>
      <c r="H43" s="94">
        <f>+'EF_ASESSM_SO#_CODIG_MODULO_11'!G57</f>
        <v>0</v>
      </c>
      <c r="I43" s="94">
        <f>+'EF_ASESSM_SO#_CODIG_MODULO_11'!H57</f>
        <v>0</v>
      </c>
      <c r="J43" s="170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2"/>
      <c r="V43" s="30"/>
    </row>
    <row r="44" spans="2:22" ht="24" customHeight="1" x14ac:dyDescent="0.25">
      <c r="B44" s="29"/>
      <c r="D44">
        <v>12</v>
      </c>
      <c r="E44" s="20">
        <f t="shared" si="0"/>
        <v>0</v>
      </c>
      <c r="F44" s="94">
        <f>+'EF_ASESSM_SO#_CODIG_MODULO_12'!E57</f>
        <v>0</v>
      </c>
      <c r="G44" s="94">
        <f>+'EF_ASESSM_SO#_CODIG_MODULO_12'!F57</f>
        <v>0</v>
      </c>
      <c r="H44" s="94">
        <f>+'EF_ASESSM_SO#_CODIG_MODULO_12'!G57</f>
        <v>0</v>
      </c>
      <c r="I44" s="94">
        <f>+'EF_ASESSM_SO#_CODIG_MODULO_12'!H57</f>
        <v>0</v>
      </c>
      <c r="J44" s="170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2"/>
      <c r="V44" s="30"/>
    </row>
    <row r="45" spans="2:22" ht="24" customHeight="1" x14ac:dyDescent="0.25">
      <c r="B45" s="29"/>
      <c r="D45">
        <v>13</v>
      </c>
      <c r="E45" s="20">
        <f t="shared" si="0"/>
        <v>0</v>
      </c>
      <c r="F45" s="94">
        <f>+'EF_ASESSM_SO#_CODIG_MODULO_13'!E57</f>
        <v>0</v>
      </c>
      <c r="G45" s="94">
        <f>+'EF_ASESSM_SO#_CODIG_MODULO_13'!F57</f>
        <v>0</v>
      </c>
      <c r="H45" s="94">
        <f>+'EF_ASESSM_SO#_CODIG_MODULO_13'!G57</f>
        <v>0</v>
      </c>
      <c r="I45" s="94">
        <f>+'EF_ASESSM_SO#_CODIG_MODULO_13'!H57</f>
        <v>0</v>
      </c>
      <c r="J45" s="170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2"/>
      <c r="V45" s="30"/>
    </row>
    <row r="46" spans="2:22" ht="24" customHeight="1" x14ac:dyDescent="0.25">
      <c r="B46" s="29"/>
      <c r="D46">
        <v>14</v>
      </c>
      <c r="E46" s="20">
        <f t="shared" si="0"/>
        <v>0</v>
      </c>
      <c r="F46" s="94">
        <f>+'EF_ASESSM_SO#_CODIG_MODULO_14'!E57</f>
        <v>0</v>
      </c>
      <c r="G46" s="94">
        <f>+'EF_ASESSM_SO#_CODIG_MODULO_14'!F57</f>
        <v>0</v>
      </c>
      <c r="H46" s="94">
        <f>+'EF_ASESSM_SO#_CODIG_MODULO_14'!G57</f>
        <v>0</v>
      </c>
      <c r="I46" s="94">
        <f>+'EF_ASESSM_SO#_CODIG_MODULO_14'!H57</f>
        <v>0</v>
      </c>
      <c r="J46" s="170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2"/>
      <c r="V46" s="30"/>
    </row>
    <row r="47" spans="2:22" ht="24" customHeight="1" x14ac:dyDescent="0.25">
      <c r="B47" s="29"/>
      <c r="D47">
        <v>15</v>
      </c>
      <c r="E47" s="20">
        <f t="shared" si="0"/>
        <v>0</v>
      </c>
      <c r="F47" s="94">
        <f>+'EF_ASESSM_SO#_CODIG_MODULO_15'!E57</f>
        <v>0</v>
      </c>
      <c r="G47" s="94">
        <f>+'EF_ASESSM_SO#_CODIG_MODULO_15'!F57</f>
        <v>0</v>
      </c>
      <c r="H47" s="94">
        <f>+'EF_ASESSM_SO#_CODIG_MODULO_15'!G57</f>
        <v>0</v>
      </c>
      <c r="I47" s="94">
        <f>+'EF_ASESSM_SO#_CODIG_MODULO_15'!H57</f>
        <v>0</v>
      </c>
      <c r="J47" s="173"/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5"/>
      <c r="V47" s="30"/>
    </row>
    <row r="48" spans="2:22" ht="15" customHeight="1" x14ac:dyDescent="0.25">
      <c r="B48" s="29"/>
      <c r="E48" s="20" t="s">
        <v>152</v>
      </c>
      <c r="F48" s="41">
        <f>IFERROR((COUNTIF('EF_ASESSM_SO#_CODIG_MODULO_1'!E12:E51,FINAL_REPORT_ASESSMT_SO!F30)+COUNTIF('EF_ASESSM_SO#_CODIG_MODULO_2'!E12:E51,FINAL_REPORT_ASESSMT_SO!F30)+COUNTIF('EF_ASESSM_SO#_CODIG_MODULO_3'!E12:E51,FINAL_REPORT_ASESSMT_SO!F30)+COUNTIF('EF_ASESSM_SO#_CODIG_MODULO_4'!E12:E51,FINAL_REPORT_ASESSMT_SO!F30)+COUNTIF('EF_ASESSM_SO#_CODIG_MODULO_5'!E12:E51,FINAL_REPORT_ASESSMT_SO!F30)+COUNTIF('EF_ASESSM_SO#_CODIG_MODULO_6'!E12:E51,FINAL_REPORT_ASESSMT_SO!F30)+COUNTIF('EF_ASESSM_SO#_CODIG_MODULO_7'!E12:E51,FINAL_REPORT_ASESSMT_SO!F30)+COUNTIF('EF_ASESSM_SO#_CODIG_MODULO_8'!E12:E51,FINAL_REPORT_ASESSMT_SO!F30)+COUNTIF('EF_ASESSM_SO#_CODIG_MODULO_9'!E12:E51,FINAL_REPORT_ASESSMT_SO!F30)+COUNTIF('EF_ASESSM_SO#_CODIG_MODULO_10'!E12:E51,FINAL_REPORT_ASESSMT_SO!F30)+COUNTIF('EF_ASESSM_SO#_CODIG_MODULO_11'!E12:E51,FINAL_REPORT_ASESSMT_SO!F30)+COUNTIF('EF_ASESSM_SO#_CODIG_MODULO_12'!E12:E51,FINAL_REPORT_ASESSMT_SO!F30)+COUNTIF('EF_ASESSM_SO#_CODIG_MODULO_13'!E12:E51,FINAL_REPORT_ASESSMT_SO!F30)+COUNTIF('EF_ASESSM_SO#_CODIG_MODULO_14'!E12:E51,FINAL_REPORT_ASESSMT_SO!F30)+COUNTIF('EF_ASESSM_SO#_CODIG_MODULO_15'!E12:E51,FINAL_REPORT_ASESSMT_SO!F30))/G20,0)</f>
        <v>0</v>
      </c>
      <c r="G48" s="41">
        <f>IFERROR((COUNTIF('EF_ASESSM_SO#_CODIG_MODULO_1'!E12:E51,FINAL_REPORT_ASESSMT_SO!G30)+COUNTIF('EF_ASESSM_SO#_CODIG_MODULO_2'!E12:E51,FINAL_REPORT_ASESSMT_SO!G30)+COUNTIF('EF_ASESSM_SO#_CODIG_MODULO_3'!E12:E51,FINAL_REPORT_ASESSMT_SO!G30) +COUNTIF('EF_ASESSM_SO#_CODIG_MODULO_4'!E12:E51,FINAL_REPORT_ASESSMT_SO!G30) +COUNTIF('EF_ASESSM_SO#_CODIG_MODULO_5'!E12:E51,FINAL_REPORT_ASESSMT_SO!G30) +COUNTIF('EF_ASESSM_SO#_CODIG_MODULO_6'!E12:E51,FINAL_REPORT_ASESSMT_SO!G30)+COUNTIF('EF_ASESSM_SO#_CODIG_MODULO_7'!E12:E51,FINAL_REPORT_ASESSMT_SO!G30)+COUNTIF('EF_ASESSM_SO#_CODIG_MODULO_8'!E12:E51,FINAL_REPORT_ASESSMT_SO!G30)+COUNTIF('EF_ASESSM_SO#_CODIG_MODULO_9'!E12:E51,FINAL_REPORT_ASESSMT_SO!G30)+COUNTIF('EF_ASESSM_SO#_CODIG_MODULO_10'!E12:E51,FINAL_REPORT_ASESSMT_SO!G30)+COUNTIF('EF_ASESSM_SO#_CODIG_MODULO_11'!E12:E51,FINAL_REPORT_ASESSMT_SO!G30)+COUNTIF('EF_ASESSM_SO#_CODIG_MODULO_12'!E12:E51,FINAL_REPORT_ASESSMT_SO!G30)+COUNTIF('EF_ASESSM_SO#_CODIG_MODULO_13'!E12:E51,FINAL_REPORT_ASESSMT_SO!G30)+COUNTIF('EF_ASESSM_SO#_CODIG_MODULO_14'!E12:E51,FINAL_REPORT_ASESSMT_SO!G30)+COUNTIF('EF_ASESSM_SO#_CODIG_MODULO_15'!E12:E51,FINAL_REPORT_ASESSMT_SO!G30))/G20,0)</f>
        <v>0</v>
      </c>
      <c r="H48" s="41">
        <f>IFERROR((COUNTIF('EF_ASESSM_SO#_CODIG_MODULO_1'!E12:E51,FINAL_REPORT_ASESSMT_SO!H30)+COUNTIF('EF_ASESSM_SO#_CODIG_MODULO_2'!E12:E51,FINAL_REPORT_ASESSMT_SO!H30)+COUNTIF('EF_ASESSM_SO#_CODIG_MODULO_3'!E12:E51,FINAL_REPORT_ASESSMT_SO!H30) +COUNTIF('EF_ASESSM_SO#_CODIG_MODULO_4'!E12:E51,FINAL_REPORT_ASESSMT_SO!H30) +COUNTIF('EF_ASESSM_SO#_CODIG_MODULO_5'!E12:E51,FINAL_REPORT_ASESSMT_SO!H30) +COUNTIF('EF_ASESSM_SO#_CODIG_MODULO_6'!E12:E51,FINAL_REPORT_ASESSMT_SO!H30)+COUNTIF('EF_ASESSM_SO#_CODIG_MODULO_7'!E12:E51,FINAL_REPORT_ASESSMT_SO!H30)+COUNTIF('EF_ASESSM_SO#_CODIG_MODULO_8'!E12:E51,FINAL_REPORT_ASESSMT_SO!H30)+COUNTIF('EF_ASESSM_SO#_CODIG_MODULO_9'!E12:E51,FINAL_REPORT_ASESSMT_SO!H30)+COUNTIF('EF_ASESSM_SO#_CODIG_MODULO_10'!E12:E51,FINAL_REPORT_ASESSMT_SO!H30)+COUNTIF('EF_ASESSM_SO#_CODIG_MODULO_11'!E12:E51,FINAL_REPORT_ASESSMT_SO!H30)+COUNTIF('EF_ASESSM_SO#_CODIG_MODULO_12'!E12:E51,FINAL_REPORT_ASESSMT_SO!H30)+COUNTIF('EF_ASESSM_SO#_CODIG_MODULO_13'!E12:E51,FINAL_REPORT_ASESSMT_SO!H30)+COUNTIF('EF_ASESSM_SO#_CODIG_MODULO_14'!E12:E51,FINAL_REPORT_ASESSMT_SO!H30)+COUNTIF('EF_ASESSM_SO#_CODIG_MODULO_15'!E12:E51,FINAL_REPORT_ASESSMT_SO!H30))/G20,0)</f>
        <v>0</v>
      </c>
      <c r="I48" s="41">
        <f>IFERROR((COUNTIF('EF_ASESSM_SO#_CODIG_MODULO_1'!E12:E51,FINAL_REPORT_ASESSMT_SO!I30)+COUNTIF('EF_ASESSM_SO#_CODIG_MODULO_2'!E12:E51,FINAL_REPORT_ASESSMT_SO!I30)+COUNTIF('EF_ASESSM_SO#_CODIG_MODULO_3'!E12:E51,FINAL_REPORT_ASESSMT_SO!I30) +COUNTIF('EF_ASESSM_SO#_CODIG_MODULO_4'!E12:E51,FINAL_REPORT_ASESSMT_SO!I30) +COUNTIF('EF_ASESSM_SO#_CODIG_MODULO_5'!E12:E51,FINAL_REPORT_ASESSMT_SO!I30) +COUNTIF('EF_ASESSM_SO#_CODIG_MODULO_6'!E12:E51,FINAL_REPORT_ASESSMT_SO!I30)+COUNTIF('EF_ASESSM_SO#_CODIG_MODULO_7'!E12:E51,FINAL_REPORT_ASESSMT_SO!I30)+COUNTIF('EF_ASESSM_SO#_CODIG_MODULO_8'!E12:E51,FINAL_REPORT_ASESSMT_SO!I30)+COUNTIF('EF_ASESSM_SO#_CODIG_MODULO_9'!E12:E51,FINAL_REPORT_ASESSMT_SO!I30)+COUNTIF('EF_ASESSM_SO#_CODIG_MODULO_10'!E12:E51,FINAL_REPORT_ASESSMT_SO!I30)+COUNTIF('EF_ASESSM_SO#_CODIG_MODULO_11'!E12:E51,FINAL_REPORT_ASESSMT_SO!I30)+COUNTIF('EF_ASESSM_SO#_CODIG_MODULO_12'!E12:E51,FINAL_REPORT_ASESSMT_SO!I30)+COUNTIF('EF_ASESSM_SO#_CODIG_MODULO_13'!E12:E51,FINAL_REPORT_ASESSMT_SO!I30)+COUNTIF('EF_ASESSM_SO#_CODIG_MODULO_14'!E12:E51,FINAL_REPORT_ASESSMT_SO!I30)+COUNTIF('EF_ASESSM_SO#_CODIG_MODULO_15'!E12:E51,FINAL_REPORT_ASESSMT_SO!I30))/G20,0)</f>
        <v>0</v>
      </c>
      <c r="J48" s="47">
        <f>+MAX(F48:I48)</f>
        <v>0</v>
      </c>
      <c r="V48" s="30"/>
    </row>
    <row r="49" spans="2:22" ht="15" customHeight="1" x14ac:dyDescent="0.25">
      <c r="B49" s="29"/>
      <c r="V49" s="30"/>
    </row>
    <row r="50" spans="2:22" ht="15" customHeight="1" x14ac:dyDescent="0.25">
      <c r="B50" s="29"/>
      <c r="V50" s="30"/>
    </row>
    <row r="51" spans="2:22" ht="15" customHeight="1" x14ac:dyDescent="0.25">
      <c r="B51" s="29"/>
      <c r="V51" s="30"/>
    </row>
    <row r="52" spans="2:22" ht="15" customHeight="1" x14ac:dyDescent="0.25">
      <c r="B52" s="29"/>
      <c r="V52" s="30"/>
    </row>
    <row r="53" spans="2:22" ht="15" customHeight="1" x14ac:dyDescent="0.25">
      <c r="B53" s="29"/>
      <c r="V53" s="30"/>
    </row>
    <row r="54" spans="2:22" ht="15" customHeight="1" x14ac:dyDescent="0.25">
      <c r="B54" s="29"/>
      <c r="V54" s="30"/>
    </row>
    <row r="55" spans="2:22" ht="15" customHeight="1" x14ac:dyDescent="0.25">
      <c r="B55" s="29"/>
      <c r="V55" s="30"/>
    </row>
    <row r="56" spans="2:22" ht="15" customHeight="1" x14ac:dyDescent="0.25">
      <c r="B56" s="29"/>
      <c r="V56" s="30"/>
    </row>
    <row r="57" spans="2:22" ht="15" customHeight="1" x14ac:dyDescent="0.25">
      <c r="B57" s="29"/>
      <c r="V57" s="30"/>
    </row>
    <row r="58" spans="2:22" ht="15" customHeight="1" x14ac:dyDescent="0.25">
      <c r="B58" s="29"/>
      <c r="V58" s="30"/>
    </row>
    <row r="59" spans="2:22" ht="15" customHeight="1" x14ac:dyDescent="0.25">
      <c r="B59" s="29"/>
      <c r="V59" s="30"/>
    </row>
    <row r="60" spans="2:22" ht="15" customHeight="1" x14ac:dyDescent="0.25">
      <c r="B60" s="29"/>
      <c r="V60" s="30"/>
    </row>
    <row r="61" spans="2:22" ht="15" customHeight="1" x14ac:dyDescent="0.25">
      <c r="B61" s="29"/>
      <c r="V61" s="30"/>
    </row>
    <row r="62" spans="2:22" ht="15" customHeight="1" x14ac:dyDescent="0.25">
      <c r="B62" s="29"/>
      <c r="V62" s="30"/>
    </row>
    <row r="63" spans="2:22" ht="15" customHeight="1" x14ac:dyDescent="0.25">
      <c r="B63" s="29"/>
      <c r="V63" s="30"/>
    </row>
    <row r="64" spans="2:22" ht="15" customHeight="1" x14ac:dyDescent="0.25">
      <c r="B64" s="29"/>
      <c r="V64" s="30"/>
    </row>
    <row r="65" spans="2:22" ht="15" customHeight="1" x14ac:dyDescent="0.25">
      <c r="B65" s="29"/>
      <c r="C65" s="145" t="s">
        <v>153</v>
      </c>
      <c r="D65" s="146"/>
      <c r="E65" s="147" t="s">
        <v>154</v>
      </c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9"/>
      <c r="V65" s="30"/>
    </row>
    <row r="66" spans="2:22" ht="104.25" customHeight="1" x14ac:dyDescent="0.25">
      <c r="B66" s="29"/>
      <c r="C66" s="134"/>
      <c r="D66" s="135"/>
      <c r="E66" s="150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2"/>
      <c r="V66" s="30"/>
    </row>
    <row r="67" spans="2:22" ht="15" customHeight="1" thickBot="1" x14ac:dyDescent="0.3">
      <c r="B67" s="32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4"/>
    </row>
    <row r="68" spans="2:22" ht="15" customHeight="1" x14ac:dyDescent="0.25">
      <c r="B68" s="27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28"/>
    </row>
    <row r="69" spans="2:22" ht="15" customHeight="1" x14ac:dyDescent="0.25">
      <c r="B69" s="29"/>
      <c r="C69" s="145" t="s">
        <v>155</v>
      </c>
      <c r="D69" s="146"/>
      <c r="E69" s="153" t="str">
        <f>+'RUBRIC SO#'!A8</f>
        <v>Clasificar los trámites para importación y exportación al interior de la empresa y ante organismos competentes . (Claridad, Pertinencia)</v>
      </c>
      <c r="F69" s="154"/>
      <c r="G69" s="154"/>
      <c r="H69" s="154"/>
      <c r="I69" s="154"/>
      <c r="J69" s="154"/>
      <c r="K69" s="154"/>
      <c r="L69" s="154"/>
      <c r="M69" s="154"/>
      <c r="N69" s="154"/>
      <c r="O69" s="154"/>
      <c r="P69" s="154"/>
      <c r="Q69" s="154"/>
      <c r="R69" s="154"/>
      <c r="S69" s="154"/>
      <c r="T69" s="154"/>
      <c r="U69" s="155"/>
      <c r="V69" s="30"/>
    </row>
    <row r="70" spans="2:22" ht="15" customHeight="1" x14ac:dyDescent="0.25">
      <c r="B70" s="29"/>
      <c r="C70" s="134"/>
      <c r="D70" s="135"/>
      <c r="E70" s="156"/>
      <c r="F70" s="157"/>
      <c r="G70" s="157"/>
      <c r="H70" s="157"/>
      <c r="I70" s="157"/>
      <c r="J70" s="157"/>
      <c r="K70" s="157"/>
      <c r="L70" s="157"/>
      <c r="M70" s="157"/>
      <c r="N70" s="157"/>
      <c r="O70" s="157"/>
      <c r="P70" s="157"/>
      <c r="Q70" s="157"/>
      <c r="R70" s="157"/>
      <c r="S70" s="157"/>
      <c r="T70" s="157"/>
      <c r="U70" s="158"/>
      <c r="V70" s="30"/>
    </row>
    <row r="71" spans="2:22" ht="6.75" customHeight="1" x14ac:dyDescent="0.25">
      <c r="B71" s="29"/>
      <c r="V71" s="30"/>
    </row>
    <row r="72" spans="2:22" ht="15" customHeight="1" x14ac:dyDescent="0.25">
      <c r="B72" s="29"/>
      <c r="F72" s="46" t="s">
        <v>119</v>
      </c>
      <c r="G72" s="46" t="s">
        <v>120</v>
      </c>
      <c r="H72" s="46" t="s">
        <v>122</v>
      </c>
      <c r="I72" s="46" t="s">
        <v>124</v>
      </c>
      <c r="V72" s="30"/>
    </row>
    <row r="73" spans="2:22" ht="15" customHeight="1" x14ac:dyDescent="0.25">
      <c r="B73" s="29"/>
      <c r="F73" s="159" t="s">
        <v>130</v>
      </c>
      <c r="G73" s="159"/>
      <c r="H73" s="159"/>
      <c r="I73" s="159"/>
      <c r="J73" s="167" t="str">
        <f>IF(F90=J90,'RUBRIC SO#'!B8,IF(G90=J90,'RUBRIC SO#'!C8,IF(H90=J90,'RUBRIC SO#'!D8,IF(I90=J90,'RUBRIC SO#'!E8,"Error"))))</f>
        <v>No clasifica  los trámites para importación y exportación, al interior de la empresa y ante organismos competentes.</v>
      </c>
      <c r="K73" s="168"/>
      <c r="L73" s="168"/>
      <c r="M73" s="168"/>
      <c r="N73" s="168"/>
      <c r="O73" s="168"/>
      <c r="P73" s="168"/>
      <c r="Q73" s="168"/>
      <c r="R73" s="168"/>
      <c r="S73" s="168"/>
      <c r="T73" s="168"/>
      <c r="U73" s="169"/>
      <c r="V73" s="30"/>
    </row>
    <row r="74" spans="2:22" ht="15" customHeight="1" x14ac:dyDescent="0.25">
      <c r="B74" s="29"/>
      <c r="F74" s="2" t="s">
        <v>132</v>
      </c>
      <c r="G74" s="3" t="s">
        <v>133</v>
      </c>
      <c r="H74" s="4" t="s">
        <v>134</v>
      </c>
      <c r="I74" s="5" t="s">
        <v>135</v>
      </c>
      <c r="J74" s="170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2"/>
      <c r="V74" s="30"/>
    </row>
    <row r="75" spans="2:22" ht="24" customHeight="1" x14ac:dyDescent="0.25">
      <c r="B75" s="29"/>
      <c r="E75" s="20">
        <f>IFERROR(E5,0)</f>
        <v>0</v>
      </c>
      <c r="F75" s="94">
        <f>+'EF_ASESSM_SO#_CODIG_MODULO_1'!E58</f>
        <v>0</v>
      </c>
      <c r="G75" s="94">
        <f>+'EF_ASESSM_SO#_CODIG_MODULO_1'!F58</f>
        <v>0</v>
      </c>
      <c r="H75" s="94">
        <f>+'EF_ASESSM_SO#_CODIG_MODULO_1'!G58</f>
        <v>0</v>
      </c>
      <c r="I75" s="94">
        <f>+'EF_ASESSM_SO#_CODIG_MODULO_1'!H58</f>
        <v>0</v>
      </c>
      <c r="J75" s="170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2"/>
      <c r="V75" s="30"/>
    </row>
    <row r="76" spans="2:22" ht="24" customHeight="1" x14ac:dyDescent="0.25">
      <c r="B76" s="29"/>
      <c r="E76" s="20">
        <f t="shared" ref="E76:E89" si="1">IFERROR(E6,0)</f>
        <v>0</v>
      </c>
      <c r="F76" s="94">
        <f>+'EF_ASESSM_SO#_CODIG_MODULO_2'!E58</f>
        <v>0</v>
      </c>
      <c r="G76" s="94">
        <f>+'EF_ASESSM_SO#_CODIG_MODULO_2'!F58</f>
        <v>0</v>
      </c>
      <c r="H76" s="94">
        <f>+'EF_ASESSM_SO#_CODIG_MODULO_2'!G58</f>
        <v>0</v>
      </c>
      <c r="I76" s="94">
        <f>+'EF_ASESSM_SO#_CODIG_MODULO_2'!H58</f>
        <v>0</v>
      </c>
      <c r="J76" s="170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2"/>
      <c r="V76" s="30"/>
    </row>
    <row r="77" spans="2:22" ht="24" customHeight="1" x14ac:dyDescent="0.25">
      <c r="B77" s="29"/>
      <c r="E77" s="20">
        <f t="shared" si="1"/>
        <v>0</v>
      </c>
      <c r="F77" s="94">
        <f>+'EF_ASESSM_SO#_CODIG_MODULO_3'!E58</f>
        <v>0</v>
      </c>
      <c r="G77" s="94">
        <f>+'EF_ASESSM_SO#_CODIG_MODULO_3'!F58</f>
        <v>0</v>
      </c>
      <c r="H77" s="94">
        <f>+'EF_ASESSM_SO#_CODIG_MODULO_3'!G58</f>
        <v>0</v>
      </c>
      <c r="I77" s="94">
        <f>+'EF_ASESSM_SO#_CODIG_MODULO_3'!H58</f>
        <v>0</v>
      </c>
      <c r="J77" s="170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2"/>
      <c r="V77" s="30"/>
    </row>
    <row r="78" spans="2:22" ht="24" customHeight="1" x14ac:dyDescent="0.25">
      <c r="B78" s="29"/>
      <c r="E78" s="20">
        <f t="shared" si="1"/>
        <v>0</v>
      </c>
      <c r="F78" s="94">
        <f>+'EF_ASESSM_SO#_CODIG_MODULO_4'!E58</f>
        <v>0</v>
      </c>
      <c r="G78" s="94">
        <f>+'EF_ASESSM_SO#_CODIG_MODULO_4'!F58</f>
        <v>0</v>
      </c>
      <c r="H78" s="94">
        <f>+'EF_ASESSM_SO#_CODIG_MODULO_4'!G58</f>
        <v>0</v>
      </c>
      <c r="I78" s="94">
        <f>+'EF_ASESSM_SO#_CODIG_MODULO_4'!H58</f>
        <v>0</v>
      </c>
      <c r="J78" s="170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2"/>
      <c r="V78" s="30"/>
    </row>
    <row r="79" spans="2:22" ht="24" customHeight="1" x14ac:dyDescent="0.25">
      <c r="B79" s="29"/>
      <c r="E79" s="20">
        <f t="shared" si="1"/>
        <v>0</v>
      </c>
      <c r="F79" s="94">
        <f>+'EF_ASESSM_SO#_CODIG_MODULO_5'!E58</f>
        <v>0</v>
      </c>
      <c r="G79" s="94">
        <f>+'EF_ASESSM_SO#_CODIG_MODULO_5'!F58</f>
        <v>0</v>
      </c>
      <c r="H79" s="94">
        <f>+'EF_ASESSM_SO#_CODIG_MODULO_5'!G58</f>
        <v>0</v>
      </c>
      <c r="I79" s="94">
        <f>+'EF_ASESSM_SO#_CODIG_MODULO_5'!H58</f>
        <v>0</v>
      </c>
      <c r="J79" s="170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2"/>
      <c r="V79" s="30"/>
    </row>
    <row r="80" spans="2:22" ht="24" customHeight="1" x14ac:dyDescent="0.25">
      <c r="B80" s="29"/>
      <c r="E80" s="20">
        <f t="shared" si="1"/>
        <v>0</v>
      </c>
      <c r="F80" s="94">
        <f>+'EF_ASESSM_SO#_CODIG_MODULO_6'!E58</f>
        <v>0</v>
      </c>
      <c r="G80" s="94">
        <f>+'EF_ASESSM_SO#_CODIG_MODULO_6'!F58</f>
        <v>0</v>
      </c>
      <c r="H80" s="94">
        <f>+'EF_ASESSM_SO#_CODIG_MODULO_6'!G58</f>
        <v>0</v>
      </c>
      <c r="I80" s="94">
        <f>+'EF_ASESSM_SO#_CODIG_MODULO_6'!H58</f>
        <v>0</v>
      </c>
      <c r="J80" s="170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2"/>
      <c r="V80" s="30"/>
    </row>
    <row r="81" spans="2:22" ht="24" customHeight="1" x14ac:dyDescent="0.25">
      <c r="B81" s="29"/>
      <c r="E81" s="20">
        <f t="shared" si="1"/>
        <v>0</v>
      </c>
      <c r="F81" s="94">
        <f>+'EF_ASESSM_SO#_CODIG_MODULO_7'!E58</f>
        <v>0</v>
      </c>
      <c r="G81" s="94">
        <f>+'EF_ASESSM_SO#_CODIG_MODULO_7'!F58</f>
        <v>0</v>
      </c>
      <c r="H81" s="94">
        <f>+'EF_ASESSM_SO#_CODIG_MODULO_7'!G58</f>
        <v>0</v>
      </c>
      <c r="I81" s="94">
        <f>+'EF_ASESSM_SO#_CODIG_MODULO_7'!H58</f>
        <v>0</v>
      </c>
      <c r="J81" s="170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2"/>
      <c r="V81" s="30"/>
    </row>
    <row r="82" spans="2:22" ht="24" customHeight="1" x14ac:dyDescent="0.25">
      <c r="B82" s="29"/>
      <c r="D82">
        <v>8</v>
      </c>
      <c r="E82" s="20">
        <f t="shared" si="1"/>
        <v>0</v>
      </c>
      <c r="F82" s="94">
        <f>+'EF_ASESSM_SO#_CODIG_MODULO_8'!E58</f>
        <v>0</v>
      </c>
      <c r="G82" s="94">
        <f>+'EF_ASESSM_SO#_CODIG_MODULO_8'!F58</f>
        <v>0</v>
      </c>
      <c r="H82" s="94">
        <f>+'EF_ASESSM_SO#_CODIG_MODULO_8'!G58</f>
        <v>0</v>
      </c>
      <c r="I82" s="94">
        <f>+'EF_ASESSM_SO#_CODIG_MODULO_8'!H58</f>
        <v>0</v>
      </c>
      <c r="J82" s="170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2"/>
      <c r="V82" s="30"/>
    </row>
    <row r="83" spans="2:22" ht="24" customHeight="1" x14ac:dyDescent="0.25">
      <c r="B83" s="29"/>
      <c r="D83">
        <v>9</v>
      </c>
      <c r="E83" s="20">
        <f t="shared" si="1"/>
        <v>0</v>
      </c>
      <c r="F83" s="94">
        <f>+'EF_ASESSM_SO#_CODIG_MODULO_9'!E58</f>
        <v>0</v>
      </c>
      <c r="G83" s="94">
        <f>+'EF_ASESSM_SO#_CODIG_MODULO_9'!F58</f>
        <v>0</v>
      </c>
      <c r="H83" s="94">
        <f>+'EF_ASESSM_SO#_CODIG_MODULO_9'!G58</f>
        <v>0</v>
      </c>
      <c r="I83" s="94">
        <f>+'EF_ASESSM_SO#_CODIG_MODULO_9'!H58</f>
        <v>0</v>
      </c>
      <c r="J83" s="170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2"/>
      <c r="V83" s="30"/>
    </row>
    <row r="84" spans="2:22" ht="24" customHeight="1" x14ac:dyDescent="0.25">
      <c r="B84" s="29"/>
      <c r="D84">
        <v>10</v>
      </c>
      <c r="E84" s="20">
        <f t="shared" si="1"/>
        <v>0</v>
      </c>
      <c r="F84" s="94">
        <f>+'EF_ASESSM_SO#_CODIG_MODULO_10'!E58</f>
        <v>0</v>
      </c>
      <c r="G84" s="94">
        <f>+'EF_ASESSM_SO#_CODIG_MODULO_10'!F58</f>
        <v>0</v>
      </c>
      <c r="H84" s="94">
        <f>+'EF_ASESSM_SO#_CODIG_MODULO_10'!G58</f>
        <v>0</v>
      </c>
      <c r="I84" s="94">
        <f>+'EF_ASESSM_SO#_CODIG_MODULO_10'!H58</f>
        <v>0</v>
      </c>
      <c r="J84" s="170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2"/>
      <c r="V84" s="30"/>
    </row>
    <row r="85" spans="2:22" ht="24" customHeight="1" x14ac:dyDescent="0.25">
      <c r="B85" s="29"/>
      <c r="D85">
        <v>11</v>
      </c>
      <c r="E85" s="20">
        <f t="shared" si="1"/>
        <v>0</v>
      </c>
      <c r="F85" s="94">
        <f>+'EF_ASESSM_SO#_CODIG_MODULO_11'!E58</f>
        <v>0</v>
      </c>
      <c r="G85" s="94">
        <f>+'EF_ASESSM_SO#_CODIG_MODULO_11'!F58</f>
        <v>0</v>
      </c>
      <c r="H85" s="94">
        <f>+'EF_ASESSM_SO#_CODIG_MODULO_11'!G58</f>
        <v>0</v>
      </c>
      <c r="I85" s="94">
        <f>+'EF_ASESSM_SO#_CODIG_MODULO_11'!H58</f>
        <v>0</v>
      </c>
      <c r="J85" s="170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2"/>
      <c r="V85" s="30"/>
    </row>
    <row r="86" spans="2:22" ht="24" customHeight="1" x14ac:dyDescent="0.25">
      <c r="B86" s="29"/>
      <c r="D86">
        <v>12</v>
      </c>
      <c r="E86" s="20">
        <f t="shared" si="1"/>
        <v>0</v>
      </c>
      <c r="F86" s="94">
        <f>+'EF_ASESSM_SO#_CODIG_MODULO_12'!E58</f>
        <v>0</v>
      </c>
      <c r="G86" s="94">
        <f>+'EF_ASESSM_SO#_CODIG_MODULO_12'!F58</f>
        <v>0</v>
      </c>
      <c r="H86" s="94">
        <f>+'EF_ASESSM_SO#_CODIG_MODULO_12'!G58</f>
        <v>0</v>
      </c>
      <c r="I86" s="94">
        <f>+'EF_ASESSM_SO#_CODIG_MODULO_12'!H58</f>
        <v>0</v>
      </c>
      <c r="J86" s="170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2"/>
      <c r="V86" s="30"/>
    </row>
    <row r="87" spans="2:22" ht="24" customHeight="1" x14ac:dyDescent="0.25">
      <c r="B87" s="29"/>
      <c r="D87">
        <v>13</v>
      </c>
      <c r="E87" s="20">
        <f t="shared" si="1"/>
        <v>0</v>
      </c>
      <c r="F87" s="94">
        <f>+'EF_ASESSM_SO#_CODIG_MODULO_13'!E58</f>
        <v>0</v>
      </c>
      <c r="G87" s="94">
        <f>+'EF_ASESSM_SO#_CODIG_MODULO_13'!F58</f>
        <v>0</v>
      </c>
      <c r="H87" s="94">
        <f>+'EF_ASESSM_SO#_CODIG_MODULO_13'!G58</f>
        <v>0</v>
      </c>
      <c r="I87" s="94">
        <f>+'EF_ASESSM_SO#_CODIG_MODULO_13'!H58</f>
        <v>0</v>
      </c>
      <c r="J87" s="170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2"/>
      <c r="V87" s="30"/>
    </row>
    <row r="88" spans="2:22" ht="24" customHeight="1" x14ac:dyDescent="0.25">
      <c r="B88" s="29"/>
      <c r="D88">
        <v>14</v>
      </c>
      <c r="E88" s="20">
        <f t="shared" si="1"/>
        <v>0</v>
      </c>
      <c r="F88" s="94">
        <f>+'EF_ASESSM_SO#_CODIG_MODULO_14'!E58</f>
        <v>0</v>
      </c>
      <c r="G88" s="94">
        <f>+'EF_ASESSM_SO#_CODIG_MODULO_14'!F58</f>
        <v>0</v>
      </c>
      <c r="H88" s="94">
        <f>+'EF_ASESSM_SO#_CODIG_MODULO_14'!G58</f>
        <v>0</v>
      </c>
      <c r="I88" s="94">
        <f>+'EF_ASESSM_SO#_CODIG_MODULO_14'!H58</f>
        <v>0</v>
      </c>
      <c r="J88" s="170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2"/>
      <c r="V88" s="30"/>
    </row>
    <row r="89" spans="2:22" ht="24" customHeight="1" x14ac:dyDescent="0.25">
      <c r="B89" s="29"/>
      <c r="D89">
        <v>15</v>
      </c>
      <c r="E89" s="20">
        <f t="shared" si="1"/>
        <v>0</v>
      </c>
      <c r="F89" s="94">
        <f>+'EF_ASESSM_SO#_CODIG_MODULO_15'!E58</f>
        <v>0</v>
      </c>
      <c r="G89" s="94">
        <f>+'EF_ASESSM_SO#_CODIG_MODULO_15'!F58</f>
        <v>0</v>
      </c>
      <c r="H89" s="94">
        <f>+'EF_ASESSM_SO#_CODIG_MODULO_15'!G58</f>
        <v>0</v>
      </c>
      <c r="I89" s="94">
        <f>+'EF_ASESSM_SO#_CODIG_MODULO_15'!H58</f>
        <v>0</v>
      </c>
      <c r="J89" s="173"/>
      <c r="K89" s="174"/>
      <c r="L89" s="174"/>
      <c r="M89" s="174"/>
      <c r="N89" s="174"/>
      <c r="O89" s="174"/>
      <c r="P89" s="174"/>
      <c r="Q89" s="174"/>
      <c r="R89" s="174"/>
      <c r="S89" s="174"/>
      <c r="T89" s="174"/>
      <c r="U89" s="175"/>
      <c r="V89" s="30"/>
    </row>
    <row r="90" spans="2:22" ht="15" customHeight="1" x14ac:dyDescent="0.25">
      <c r="B90" s="29"/>
      <c r="E90" s="20" t="s">
        <v>156</v>
      </c>
      <c r="F90" s="41">
        <f>IFERROR((COUNTIF('EF_ASESSM_SO#_CODIG_MODULO_1'!F12:F51,FINAL_REPORT_ASESSMT_SO!F72)+COUNTIF('EF_ASESSM_SO#_CODIG_MODULO_2'!F12:F50,FINAL_REPORT_ASESSMT_SO!F72)+COUNTIF('EF_ASESSM_SO#_CODIG_MODULO_3'!F12:F51,FINAL_REPORT_ASESSMT_SO!F72) +COUNTIF('EF_ASESSM_SO#_CODIG_MODULO_4'!F12:F51,FINAL_REPORT_ASESSMT_SO!F72) +COUNTIF('EF_ASESSM_SO#_CODIG_MODULO_5'!F12:F51,FINAL_REPORT_ASESSMT_SO!F72) +COUNTIF('EF_ASESSM_SO#_CODIG_MODULO_6'!F12:F51,FINAL_REPORT_ASESSMT_SO!F72) +COUNTIF('EF_ASESSM_SO#_CODIG_MODULO_7'!F12:F51,FINAL_REPORT_ASESSMT_SO!F72) +COUNTIF('EF_ASESSM_SO#_CODIG_MODULO_8'!F12:F51,FINAL_REPORT_ASESSMT_SO!F72) +COUNTIF('EF_ASESSM_SO#_CODIG_MODULO_9'!F12:F51,FINAL_REPORT_ASESSMT_SO!F72) +COUNTIF('EF_ASESSM_SO#_CODIG_MODULO_10'!F12:F51,FINAL_REPORT_ASESSMT_SO!F72) +COUNTIF('EF_ASESSM_SO#_CODIG_MODULO_11'!F12:F51,FINAL_REPORT_ASESSMT_SO!F72) +COUNTIF('EF_ASESSM_SO#_CODIG_MODULO_12'!F12:F51,FINAL_REPORT_ASESSMT_SO!F72) +COUNTIF('EF_ASESSM_SO#_CODIG_MODULO_13'!F12:F51,FINAL_REPORT_ASESSMT_SO!F72) +COUNTIF('EF_ASESSM_SO#_CODIG_MODULO_14'!F12:F51,FINAL_REPORT_ASESSMT_SO!F72) +COUNTIF('EF_ASESSM_SO#_CODIG_MODULO_15'!F12:F51,FINAL_REPORT_ASESSMT_SO!F72))/FINAL_REPORT_ASESSMT_SO!G20,0)</f>
        <v>0</v>
      </c>
      <c r="G90" s="41">
        <f>IFERROR((COUNTIF('EF_ASESSM_SO#_CODIG_MODULO_1'!F12:F51,FINAL_REPORT_ASESSMT_SO!G72)+COUNTIF('EF_ASESSM_SO#_CODIG_MODULO_2'!F12:F50,FINAL_REPORT_ASESSMT_SO!G72)+COUNTIF('EF_ASESSM_SO#_CODIG_MODULO_3'!F12:F51,FINAL_REPORT_ASESSMT_SO!G72) +COUNTIF('EF_ASESSM_SO#_CODIG_MODULO_4'!F12:F51,FINAL_REPORT_ASESSMT_SO!G72) +COUNTIF('EF_ASESSM_SO#_CODIG_MODULO_5'!F12:F51,FINAL_REPORT_ASESSMT_SO!G72) +COUNTIF('EF_ASESSM_SO#_CODIG_MODULO_6'!F12:F51,FINAL_REPORT_ASESSMT_SO!G72)+COUNTIF('EF_ASESSM_SO#_CODIG_MODULO_7'!F12:F51,FINAL_REPORT_ASESSMT_SO!G72)+COUNTIF('EF_ASESSM_SO#_CODIG_MODULO_8'!F12:F51,FINAL_REPORT_ASESSMT_SO!G72)+COUNTIF('EF_ASESSM_SO#_CODIG_MODULO_9'!F12:F51,FINAL_REPORT_ASESSMT_SO!G72)+COUNTIF('EF_ASESSM_SO#_CODIG_MODULO_10'!F12:F51,FINAL_REPORT_ASESSMT_SO!G72)+COUNTIF('EF_ASESSM_SO#_CODIG_MODULO_11'!F12:F51,FINAL_REPORT_ASESSMT_SO!G72)+COUNTIF('EF_ASESSM_SO#_CODIG_MODULO_12'!F12:F51,FINAL_REPORT_ASESSMT_SO!G72)+COUNTIF('EF_ASESSM_SO#_CODIG_MODULO_13'!F12:F51,FINAL_REPORT_ASESSMT_SO!G72)+COUNTIF('EF_ASESSM_SO#_CODIG_MODULO_14'!F12:F51,FINAL_REPORT_ASESSMT_SO!G72)+COUNTIF('EF_ASESSM_SO#_CODIG_MODULO_15'!F12:F51,FINAL_REPORT_ASESSMT_SO!G72))/FINAL_REPORT_ASESSMT_SO!G20,0)</f>
        <v>0</v>
      </c>
      <c r="H90" s="41">
        <f>IFERROR((COUNTIF('EF_ASESSM_SO#_CODIG_MODULO_1'!F12:F51,FINAL_REPORT_ASESSMT_SO!H72)+COUNTIF('EF_ASESSM_SO#_CODIG_MODULO_2'!F12:F50,FINAL_REPORT_ASESSMT_SO!H72)+COUNTIF('EF_ASESSM_SO#_CODIG_MODULO_3'!F12:F51,FINAL_REPORT_ASESSMT_SO!H72) +COUNTIF('EF_ASESSM_SO#_CODIG_MODULO_4'!F12:F51,FINAL_REPORT_ASESSMT_SO!H72) +COUNTIF('EF_ASESSM_SO#_CODIG_MODULO_5'!F12:F51,FINAL_REPORT_ASESSMT_SO!H72) +COUNTIF('EF_ASESSM_SO#_CODIG_MODULO_6'!F12:F51,FINAL_REPORT_ASESSMT_SO!H72)+COUNTIF('EF_ASESSM_SO#_CODIG_MODULO_7'!F12:F51,FINAL_REPORT_ASESSMT_SO!H72)+COUNTIF('EF_ASESSM_SO#_CODIG_MODULO_8'!F12:F51,FINAL_REPORT_ASESSMT_SO!H72)+COUNTIF('EF_ASESSM_SO#_CODIG_MODULO_9'!F12:F51,FINAL_REPORT_ASESSMT_SO!H72)+COUNTIF('EF_ASESSM_SO#_CODIG_MODULO_10'!F12:F51,FINAL_REPORT_ASESSMT_SO!H72)+COUNTIF('EF_ASESSM_SO#_CODIG_MODULO_11'!F12:F51,FINAL_REPORT_ASESSMT_SO!H72)+COUNTIF('EF_ASESSM_SO#_CODIG_MODULO_12'!F12:F51,FINAL_REPORT_ASESSMT_SO!H72)+COUNTIF('EF_ASESSM_SO#_CODIG_MODULO_13'!F12:F51,FINAL_REPORT_ASESSMT_SO!H72)+COUNTIF('EF_ASESSM_SO#_CODIG_MODULO_14'!F12:F51,FINAL_REPORT_ASESSMT_SO!H72)+COUNTIF('EF_ASESSM_SO#_CODIG_MODULO_15'!F12:F51,FINAL_REPORT_ASESSMT_SO!H72))/FINAL_REPORT_ASESSMT_SO!G20,0)</f>
        <v>0</v>
      </c>
      <c r="I90" s="41">
        <f>IFERROR((COUNTIF('EF_ASESSM_SO#_CODIG_MODULO_1'!F12:F51,FINAL_REPORT_ASESSMT_SO!I72)+COUNTIF('EF_ASESSM_SO#_CODIG_MODULO_2'!F12:F50,FINAL_REPORT_ASESSMT_SO!I72)+COUNTIF('EF_ASESSM_SO#_CODIG_MODULO_3'!F12:F51,FINAL_REPORT_ASESSMT_SO!I72) +COUNTIF('EF_ASESSM_SO#_CODIG_MODULO_4'!F12:F51,FINAL_REPORT_ASESSMT_SO!I72) +COUNTIF('EF_ASESSM_SO#_CODIG_MODULO_5'!F12:F51,FINAL_REPORT_ASESSMT_SO!I72) +COUNTIF('EF_ASESSM_SO#_CODIG_MODULO_6'!F12:F51,FINAL_REPORT_ASESSMT_SO!I72)+COUNTIF('EF_ASESSM_SO#_CODIG_MODULO_7'!F12:F51,FINAL_REPORT_ASESSMT_SO!I72)+COUNTIF('EF_ASESSM_SO#_CODIG_MODULO_8'!F12:F51,FINAL_REPORT_ASESSMT_SO!I72)+COUNTIF('EF_ASESSM_SO#_CODIG_MODULO_9'!F12:F51,FINAL_REPORT_ASESSMT_SO!I72)+COUNTIF('EF_ASESSM_SO#_CODIG_MODULO_10'!F12:F51,FINAL_REPORT_ASESSMT_SO!I72)+COUNTIF('EF_ASESSM_SO#_CODIG_MODULO_11'!F12:F51,FINAL_REPORT_ASESSMT_SO!I72)+COUNTIF('EF_ASESSM_SO#_CODIG_MODULO_12'!F12:F51,FINAL_REPORT_ASESSMT_SO!I72)+COUNTIF('EF_ASESSM_SO#_CODIG_MODULO_13'!F12:F51,FINAL_REPORT_ASESSMT_SO!I72)+COUNTIF('EF_ASESSM_SO#_CODIG_MODULO_14'!F12:F51,FINAL_REPORT_ASESSMT_SO!I72)+COUNTIF('EF_ASESSM_SO#_CODIG_MODULO_15'!F12:F51,FINAL_REPORT_ASESSMT_SO!I72))/FINAL_REPORT_ASESSMT_SO!G20,0)</f>
        <v>0</v>
      </c>
      <c r="J90" s="47">
        <f>+MAX(F90:I90)</f>
        <v>0</v>
      </c>
      <c r="V90" s="30"/>
    </row>
    <row r="91" spans="2:22" ht="9.75" customHeight="1" x14ac:dyDescent="0.25">
      <c r="B91" s="29"/>
      <c r="V91" s="30"/>
    </row>
    <row r="92" spans="2:22" ht="6" customHeight="1" x14ac:dyDescent="0.25">
      <c r="B92" s="29"/>
      <c r="V92" s="30"/>
    </row>
    <row r="93" spans="2:22" ht="15" customHeight="1" x14ac:dyDescent="0.25">
      <c r="B93" s="29"/>
      <c r="V93" s="30"/>
    </row>
    <row r="94" spans="2:22" ht="15" customHeight="1" x14ac:dyDescent="0.25">
      <c r="B94" s="29"/>
      <c r="V94" s="30"/>
    </row>
    <row r="95" spans="2:22" ht="15" customHeight="1" x14ac:dyDescent="0.25">
      <c r="B95" s="29"/>
      <c r="V95" s="30"/>
    </row>
    <row r="96" spans="2:22" ht="15" customHeight="1" x14ac:dyDescent="0.25">
      <c r="B96" s="29"/>
      <c r="V96" s="30"/>
    </row>
    <row r="97" spans="2:22" ht="15" customHeight="1" x14ac:dyDescent="0.25">
      <c r="B97" s="29"/>
      <c r="V97" s="30"/>
    </row>
    <row r="98" spans="2:22" ht="15" customHeight="1" x14ac:dyDescent="0.25">
      <c r="B98" s="29"/>
      <c r="V98" s="30"/>
    </row>
    <row r="99" spans="2:22" ht="15" customHeight="1" x14ac:dyDescent="0.25">
      <c r="B99" s="29"/>
      <c r="V99" s="30"/>
    </row>
    <row r="100" spans="2:22" ht="15" customHeight="1" x14ac:dyDescent="0.25">
      <c r="B100" s="29"/>
      <c r="V100" s="30"/>
    </row>
    <row r="101" spans="2:22" ht="15" customHeight="1" x14ac:dyDescent="0.25">
      <c r="B101" s="29"/>
      <c r="V101" s="30"/>
    </row>
    <row r="102" spans="2:22" ht="15" customHeight="1" x14ac:dyDescent="0.25">
      <c r="B102" s="29"/>
      <c r="V102" s="30"/>
    </row>
    <row r="103" spans="2:22" ht="15" customHeight="1" x14ac:dyDescent="0.25">
      <c r="B103" s="29"/>
      <c r="V103" s="30"/>
    </row>
    <row r="104" spans="2:22" ht="15" customHeight="1" x14ac:dyDescent="0.25">
      <c r="B104" s="29"/>
      <c r="V104" s="30"/>
    </row>
    <row r="105" spans="2:22" ht="15" customHeight="1" x14ac:dyDescent="0.25">
      <c r="B105" s="29"/>
      <c r="V105" s="30"/>
    </row>
    <row r="106" spans="2:22" ht="15" customHeight="1" x14ac:dyDescent="0.25">
      <c r="B106" s="29"/>
      <c r="V106" s="30"/>
    </row>
    <row r="107" spans="2:22" ht="48" customHeight="1" x14ac:dyDescent="0.25">
      <c r="B107" s="29"/>
      <c r="C107" s="145" t="s">
        <v>157</v>
      </c>
      <c r="D107" s="146"/>
      <c r="E107" s="147" t="s">
        <v>154</v>
      </c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9"/>
      <c r="V107" s="30"/>
    </row>
    <row r="108" spans="2:22" ht="72.75" customHeight="1" x14ac:dyDescent="0.25">
      <c r="B108" s="29"/>
      <c r="C108" s="134"/>
      <c r="D108" s="135"/>
      <c r="E108" s="150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2"/>
      <c r="V108" s="30"/>
    </row>
    <row r="109" spans="2:22" ht="15" customHeight="1" thickBot="1" x14ac:dyDescent="0.3">
      <c r="B109" s="32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4"/>
    </row>
    <row r="110" spans="2:22" ht="15" customHeight="1" x14ac:dyDescent="0.25">
      <c r="B110" s="27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28"/>
    </row>
    <row r="111" spans="2:22" ht="15" customHeight="1" x14ac:dyDescent="0.25">
      <c r="B111" s="29"/>
      <c r="C111" s="145" t="s">
        <v>158</v>
      </c>
      <c r="D111" s="146"/>
      <c r="E111" s="153" t="str">
        <f>+'RUBRIC SO#'!A9</f>
        <v>Diligenciar adecuada y oportunamente la documentación relacionada con la legalización de los procesos de importación y exportación, atendiendo la legislación vigente. (Estructura, Pertinencia)</v>
      </c>
      <c r="F111" s="154"/>
      <c r="G111" s="154"/>
      <c r="H111" s="154"/>
      <c r="I111" s="154"/>
      <c r="J111" s="154"/>
      <c r="K111" s="154"/>
      <c r="L111" s="154"/>
      <c r="M111" s="154"/>
      <c r="N111" s="154"/>
      <c r="O111" s="154"/>
      <c r="P111" s="154"/>
      <c r="Q111" s="154"/>
      <c r="R111" s="154"/>
      <c r="S111" s="154"/>
      <c r="T111" s="154"/>
      <c r="U111" s="155"/>
      <c r="V111" s="30"/>
    </row>
    <row r="112" spans="2:22" ht="15" customHeight="1" x14ac:dyDescent="0.25">
      <c r="B112" s="29"/>
      <c r="C112" s="134"/>
      <c r="D112" s="135"/>
      <c r="E112" s="156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57"/>
      <c r="R112" s="157"/>
      <c r="S112" s="157"/>
      <c r="T112" s="157"/>
      <c r="U112" s="158"/>
      <c r="V112" s="30"/>
    </row>
    <row r="113" spans="2:22" ht="6" customHeight="1" x14ac:dyDescent="0.25">
      <c r="B113" s="29"/>
      <c r="V113" s="30"/>
    </row>
    <row r="114" spans="2:22" ht="15" customHeight="1" x14ac:dyDescent="0.25">
      <c r="B114" s="29"/>
      <c r="F114" s="46" t="s">
        <v>119</v>
      </c>
      <c r="G114" s="46" t="s">
        <v>120</v>
      </c>
      <c r="H114" s="46" t="s">
        <v>122</v>
      </c>
      <c r="I114" s="46" t="s">
        <v>124</v>
      </c>
      <c r="V114" s="30"/>
    </row>
    <row r="115" spans="2:22" ht="15" customHeight="1" x14ac:dyDescent="0.25">
      <c r="B115" s="29"/>
      <c r="F115" s="159" t="s">
        <v>130</v>
      </c>
      <c r="G115" s="159"/>
      <c r="H115" s="159"/>
      <c r="I115" s="159"/>
      <c r="J115" s="167" t="str">
        <f>IF(F132=J132,'RUBRIC SO#'!B9,IF(G132=J132,'RUBRIC SO#'!C9,IF(H132=J132,'RUBRIC SO#'!D9,IF(I132=J132,'RUBRIC SO#'!E9,"Error"))))</f>
        <v xml:space="preserve">No diligencia adecuada y oportunamente la documentación. </v>
      </c>
      <c r="K115" s="168"/>
      <c r="L115" s="168"/>
      <c r="M115" s="168"/>
      <c r="N115" s="168"/>
      <c r="O115" s="168"/>
      <c r="P115" s="168"/>
      <c r="Q115" s="168"/>
      <c r="R115" s="168"/>
      <c r="S115" s="168"/>
      <c r="T115" s="168"/>
      <c r="U115" s="169"/>
      <c r="V115" s="30"/>
    </row>
    <row r="116" spans="2:22" ht="15" customHeight="1" x14ac:dyDescent="0.25">
      <c r="B116" s="29"/>
      <c r="F116" s="2" t="s">
        <v>132</v>
      </c>
      <c r="G116" s="3" t="s">
        <v>133</v>
      </c>
      <c r="H116" s="4" t="s">
        <v>134</v>
      </c>
      <c r="I116" s="5" t="s">
        <v>135</v>
      </c>
      <c r="J116" s="170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2"/>
      <c r="V116" s="30"/>
    </row>
    <row r="117" spans="2:22" ht="24" customHeight="1" x14ac:dyDescent="0.25">
      <c r="B117" s="29"/>
      <c r="E117" s="20">
        <f>IFERROR(E5,0)</f>
        <v>0</v>
      </c>
      <c r="F117" s="93">
        <f>'EF_ASESSM_SO#_CODIG_MODULO_1'!E59</f>
        <v>0</v>
      </c>
      <c r="G117" s="93">
        <f>'EF_ASESSM_SO#_CODIG_MODULO_1'!F59</f>
        <v>0</v>
      </c>
      <c r="H117" s="93">
        <f>'EF_ASESSM_SO#_CODIG_MODULO_1'!G59</f>
        <v>0</v>
      </c>
      <c r="I117" s="93">
        <f>'EF_ASESSM_SO#_CODIG_MODULO_1'!H59</f>
        <v>0</v>
      </c>
      <c r="J117" s="170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2"/>
      <c r="V117" s="30"/>
    </row>
    <row r="118" spans="2:22" ht="24" customHeight="1" x14ac:dyDescent="0.25">
      <c r="B118" s="29"/>
      <c r="E118" s="20">
        <f t="shared" ref="E118:E131" si="2">IFERROR(E6,0)</f>
        <v>0</v>
      </c>
      <c r="F118" s="94">
        <f>'EF_ASESSM_SO#_CODIG_MODULO_2'!E59</f>
        <v>0</v>
      </c>
      <c r="G118" s="94">
        <f>'EF_ASESSM_SO#_CODIG_MODULO_2'!F59</f>
        <v>0</v>
      </c>
      <c r="H118" s="94">
        <f>'EF_ASESSM_SO#_CODIG_MODULO_2'!G59</f>
        <v>0</v>
      </c>
      <c r="I118" s="94">
        <f>'EF_ASESSM_SO#_CODIG_MODULO_2'!H59</f>
        <v>0</v>
      </c>
      <c r="J118" s="170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2"/>
      <c r="V118" s="30"/>
    </row>
    <row r="119" spans="2:22" ht="24" customHeight="1" x14ac:dyDescent="0.25">
      <c r="B119" s="29"/>
      <c r="E119" s="20">
        <f t="shared" si="2"/>
        <v>0</v>
      </c>
      <c r="F119" s="94">
        <f>'EF_ASESSM_SO#_CODIG_MODULO_3'!E59</f>
        <v>0</v>
      </c>
      <c r="G119" s="94">
        <f>'EF_ASESSM_SO#_CODIG_MODULO_3'!F59</f>
        <v>0</v>
      </c>
      <c r="H119" s="94">
        <f>'EF_ASESSM_SO#_CODIG_MODULO_3'!G59</f>
        <v>0</v>
      </c>
      <c r="I119" s="94">
        <f>'EF_ASESSM_SO#_CODIG_MODULO_3'!H59</f>
        <v>0</v>
      </c>
      <c r="J119" s="170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2"/>
      <c r="V119" s="30"/>
    </row>
    <row r="120" spans="2:22" ht="24" customHeight="1" x14ac:dyDescent="0.25">
      <c r="B120" s="29"/>
      <c r="E120" s="20">
        <f t="shared" si="2"/>
        <v>0</v>
      </c>
      <c r="F120" s="94">
        <f>'EF_ASESSM_SO#_CODIG_MODULO_4'!E59</f>
        <v>0</v>
      </c>
      <c r="G120" s="94">
        <f>'EF_ASESSM_SO#_CODIG_MODULO_4'!F59</f>
        <v>0</v>
      </c>
      <c r="H120" s="94">
        <f>'EF_ASESSM_SO#_CODIG_MODULO_4'!G59</f>
        <v>0</v>
      </c>
      <c r="I120" s="94">
        <f>'EF_ASESSM_SO#_CODIG_MODULO_4'!H59</f>
        <v>0</v>
      </c>
      <c r="J120" s="170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2"/>
      <c r="V120" s="30"/>
    </row>
    <row r="121" spans="2:22" ht="24" customHeight="1" x14ac:dyDescent="0.25">
      <c r="B121" s="29"/>
      <c r="E121" s="20">
        <f t="shared" si="2"/>
        <v>0</v>
      </c>
      <c r="F121" s="94">
        <f>'EF_ASESSM_SO#_CODIG_MODULO_5'!E59</f>
        <v>0</v>
      </c>
      <c r="G121" s="94">
        <f>'EF_ASESSM_SO#_CODIG_MODULO_5'!F59</f>
        <v>0</v>
      </c>
      <c r="H121" s="94">
        <f>'EF_ASESSM_SO#_CODIG_MODULO_5'!G59</f>
        <v>0</v>
      </c>
      <c r="I121" s="94">
        <f>'EF_ASESSM_SO#_CODIG_MODULO_5'!H59</f>
        <v>0</v>
      </c>
      <c r="J121" s="170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2"/>
      <c r="V121" s="30"/>
    </row>
    <row r="122" spans="2:22" ht="24" customHeight="1" x14ac:dyDescent="0.25">
      <c r="B122" s="29"/>
      <c r="E122" s="20">
        <f t="shared" si="2"/>
        <v>0</v>
      </c>
      <c r="F122" s="94">
        <f>'EF_ASESSM_SO#_CODIG_MODULO_6'!E59</f>
        <v>0</v>
      </c>
      <c r="G122" s="94">
        <f>'EF_ASESSM_SO#_CODIG_MODULO_6'!F59</f>
        <v>0</v>
      </c>
      <c r="H122" s="94">
        <f>'EF_ASESSM_SO#_CODIG_MODULO_6'!G59</f>
        <v>0</v>
      </c>
      <c r="I122" s="94">
        <f>'EF_ASESSM_SO#_CODIG_MODULO_6'!H59</f>
        <v>0</v>
      </c>
      <c r="J122" s="170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2"/>
      <c r="V122" s="30"/>
    </row>
    <row r="123" spans="2:22" ht="24" customHeight="1" x14ac:dyDescent="0.25">
      <c r="B123" s="29"/>
      <c r="E123" s="20">
        <f t="shared" si="2"/>
        <v>0</v>
      </c>
      <c r="F123" s="94">
        <f>+'EF_ASESSM_SO#_CODIG_MODULO_7'!E59</f>
        <v>0</v>
      </c>
      <c r="G123" s="94">
        <f>+'EF_ASESSM_SO#_CODIG_MODULO_7'!F59</f>
        <v>0</v>
      </c>
      <c r="H123" s="94">
        <f>+'EF_ASESSM_SO#_CODIG_MODULO_7'!G59</f>
        <v>0</v>
      </c>
      <c r="I123" s="94">
        <f>+'EF_ASESSM_SO#_CODIG_MODULO_7'!H59</f>
        <v>0</v>
      </c>
      <c r="J123" s="170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2"/>
      <c r="V123" s="30"/>
    </row>
    <row r="124" spans="2:22" ht="24" customHeight="1" x14ac:dyDescent="0.25">
      <c r="B124" s="29"/>
      <c r="D124">
        <v>8</v>
      </c>
      <c r="E124" s="20">
        <f t="shared" si="2"/>
        <v>0</v>
      </c>
      <c r="F124" s="94">
        <f>+'EF_ASESSM_SO#_CODIG_MODULO_8'!E59</f>
        <v>0</v>
      </c>
      <c r="G124" s="94">
        <f>+'EF_ASESSM_SO#_CODIG_MODULO_8'!F59</f>
        <v>0</v>
      </c>
      <c r="H124" s="94">
        <f>+'EF_ASESSM_SO#_CODIG_MODULO_8'!G59</f>
        <v>0</v>
      </c>
      <c r="I124" s="94">
        <f>+'EF_ASESSM_SO#_CODIG_MODULO_8'!H59</f>
        <v>0</v>
      </c>
      <c r="J124" s="170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2"/>
      <c r="V124" s="30"/>
    </row>
    <row r="125" spans="2:22" ht="24" customHeight="1" x14ac:dyDescent="0.25">
      <c r="B125" s="29"/>
      <c r="D125">
        <v>9</v>
      </c>
      <c r="E125" s="20">
        <f t="shared" si="2"/>
        <v>0</v>
      </c>
      <c r="F125" s="94">
        <f>+'EF_ASESSM_SO#_CODIG_MODULO_9'!E59</f>
        <v>0</v>
      </c>
      <c r="G125" s="94">
        <f>+'EF_ASESSM_SO#_CODIG_MODULO_9'!F59</f>
        <v>0</v>
      </c>
      <c r="H125" s="94">
        <f>+'EF_ASESSM_SO#_CODIG_MODULO_9'!G59</f>
        <v>0</v>
      </c>
      <c r="I125" s="94">
        <f>+'EF_ASESSM_SO#_CODIG_MODULO_9'!H59</f>
        <v>0</v>
      </c>
      <c r="J125" s="170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2"/>
      <c r="V125" s="30"/>
    </row>
    <row r="126" spans="2:22" ht="24" customHeight="1" x14ac:dyDescent="0.25">
      <c r="B126" s="29"/>
      <c r="D126">
        <v>10</v>
      </c>
      <c r="E126" s="20">
        <f t="shared" si="2"/>
        <v>0</v>
      </c>
      <c r="F126" s="94">
        <f>+'EF_ASESSM_SO#_CODIG_MODULO_10'!E59</f>
        <v>0</v>
      </c>
      <c r="G126" s="94">
        <f>+'EF_ASESSM_SO#_CODIG_MODULO_10'!F59</f>
        <v>0</v>
      </c>
      <c r="H126" s="94">
        <f>+'EF_ASESSM_SO#_CODIG_MODULO_10'!G59</f>
        <v>0</v>
      </c>
      <c r="I126" s="94">
        <f>+'EF_ASESSM_SO#_CODIG_MODULO_10'!H59</f>
        <v>0</v>
      </c>
      <c r="J126" s="170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2"/>
      <c r="V126" s="30"/>
    </row>
    <row r="127" spans="2:22" ht="24" customHeight="1" x14ac:dyDescent="0.25">
      <c r="B127" s="29"/>
      <c r="D127">
        <v>11</v>
      </c>
      <c r="E127" s="20">
        <f t="shared" si="2"/>
        <v>0</v>
      </c>
      <c r="F127" s="94">
        <f>+'EF_ASESSM_SO#_CODIG_MODULO_11'!E59</f>
        <v>0</v>
      </c>
      <c r="G127" s="94">
        <f>+'EF_ASESSM_SO#_CODIG_MODULO_11'!F59</f>
        <v>0</v>
      </c>
      <c r="H127" s="94">
        <f>+'EF_ASESSM_SO#_CODIG_MODULO_11'!G59</f>
        <v>0</v>
      </c>
      <c r="I127" s="94">
        <f>+'EF_ASESSM_SO#_CODIG_MODULO_11'!H59</f>
        <v>0</v>
      </c>
      <c r="J127" s="170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2"/>
      <c r="V127" s="30"/>
    </row>
    <row r="128" spans="2:22" ht="24" customHeight="1" x14ac:dyDescent="0.25">
      <c r="B128" s="29"/>
      <c r="D128">
        <v>12</v>
      </c>
      <c r="E128" s="20">
        <f t="shared" si="2"/>
        <v>0</v>
      </c>
      <c r="F128" s="94">
        <f>+'EF_ASESSM_SO#_CODIG_MODULO_12'!E59</f>
        <v>0</v>
      </c>
      <c r="G128" s="94">
        <f>+'EF_ASESSM_SO#_CODIG_MODULO_12'!F59</f>
        <v>0</v>
      </c>
      <c r="H128" s="94">
        <f>+'EF_ASESSM_SO#_CODIG_MODULO_12'!G59</f>
        <v>0</v>
      </c>
      <c r="I128" s="94">
        <f>+'EF_ASESSM_SO#_CODIG_MODULO_12'!H59</f>
        <v>0</v>
      </c>
      <c r="J128" s="170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2"/>
      <c r="V128" s="30"/>
    </row>
    <row r="129" spans="2:22" ht="24" customHeight="1" x14ac:dyDescent="0.25">
      <c r="B129" s="29"/>
      <c r="D129">
        <v>13</v>
      </c>
      <c r="E129" s="20">
        <f t="shared" si="2"/>
        <v>0</v>
      </c>
      <c r="F129" s="94">
        <f>+'EF_ASESSM_SO#_CODIG_MODULO_13'!E59</f>
        <v>0</v>
      </c>
      <c r="G129" s="94">
        <f>+'EF_ASESSM_SO#_CODIG_MODULO_13'!F59</f>
        <v>0</v>
      </c>
      <c r="H129" s="94">
        <f>+'EF_ASESSM_SO#_CODIG_MODULO_13'!G59</f>
        <v>0</v>
      </c>
      <c r="I129" s="94">
        <f>+'EF_ASESSM_SO#_CODIG_MODULO_13'!H59</f>
        <v>0</v>
      </c>
      <c r="J129" s="170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2"/>
      <c r="V129" s="30"/>
    </row>
    <row r="130" spans="2:22" ht="24" customHeight="1" x14ac:dyDescent="0.25">
      <c r="B130" s="29"/>
      <c r="D130">
        <v>14</v>
      </c>
      <c r="E130" s="20">
        <f t="shared" si="2"/>
        <v>0</v>
      </c>
      <c r="F130" s="94">
        <f>+'EF_ASESSM_SO#_CODIG_MODULO_14'!E59</f>
        <v>0</v>
      </c>
      <c r="G130" s="94">
        <f>+'EF_ASESSM_SO#_CODIG_MODULO_14'!F59</f>
        <v>0</v>
      </c>
      <c r="H130" s="94">
        <f>+'EF_ASESSM_SO#_CODIG_MODULO_14'!G59</f>
        <v>0</v>
      </c>
      <c r="I130" s="94">
        <f>+'EF_ASESSM_SO#_CODIG_MODULO_14'!H59</f>
        <v>0</v>
      </c>
      <c r="J130" s="170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2"/>
      <c r="V130" s="30"/>
    </row>
    <row r="131" spans="2:22" ht="24" customHeight="1" x14ac:dyDescent="0.25">
      <c r="B131" s="29"/>
      <c r="D131">
        <v>15</v>
      </c>
      <c r="E131" s="20">
        <f t="shared" si="2"/>
        <v>0</v>
      </c>
      <c r="F131" s="94">
        <f>+'EF_ASESSM_SO#_CODIG_MODULO_15'!E59</f>
        <v>0</v>
      </c>
      <c r="G131" s="94">
        <f>+'EF_ASESSM_SO#_CODIG_MODULO_15'!F59</f>
        <v>0</v>
      </c>
      <c r="H131" s="94">
        <f>+'EF_ASESSM_SO#_CODIG_MODULO_15'!G59</f>
        <v>0</v>
      </c>
      <c r="I131" s="94">
        <f>+'EF_ASESSM_SO#_CODIG_MODULO_15'!H59</f>
        <v>0</v>
      </c>
      <c r="J131" s="173"/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5"/>
      <c r="V131" s="30"/>
    </row>
    <row r="132" spans="2:22" ht="15" customHeight="1" x14ac:dyDescent="0.25">
      <c r="B132" s="29"/>
      <c r="E132" s="20" t="s">
        <v>159</v>
      </c>
      <c r="F132" s="41">
        <f>IFERROR((COUNTIF('EF_ASESSM_SO#_CODIG_MODULO_1'!G12:G51,FINAL_REPORT_ASESSMT_SO!F114)+COUNTIF('EF_ASESSM_SO#_CODIG_MODULO_2'!G12:G50,FINAL_REPORT_ASESSMT_SO!F114)+COUNTIF('EF_ASESSM_SO#_CODIG_MODULO_3'!G12:G51,FINAL_REPORT_ASESSMT_SO!F114) +COUNTIF('EF_ASESSM_SO#_CODIG_MODULO_4'!G12:G51,FINAL_REPORT_ASESSMT_SO!F114) +COUNTIF('EF_ASESSM_SO#_CODIG_MODULO_5'!G12:G51,FINAL_REPORT_ASESSMT_SO!F114) +COUNTIF('EF_ASESSM_SO#_CODIG_MODULO_6'!G12:G51,FINAL_REPORT_ASESSMT_SO!F114)+COUNTIF('EF_ASESSM_SO#_CODIG_MODULO_7'!G12:G51,FINAL_REPORT_ASESSMT_SO!F114)+COUNTIF('EF_ASESSM_SO#_CODIG_MODULO_8'!G12:G51,FINAL_REPORT_ASESSMT_SO!F114)+COUNTIF('EF_ASESSM_SO#_CODIG_MODULO_9'!G12:G51,FINAL_REPORT_ASESSMT_SO!F114)+COUNTIF('EF_ASESSM_SO#_CODIG_MODULO_10'!G12:G51,FINAL_REPORT_ASESSMT_SO!F114)+COUNTIF('EF_ASESSM_SO#_CODIG_MODULO_11'!G12:G51,FINAL_REPORT_ASESSMT_SO!F114)+COUNTIF('EF_ASESSM_SO#_CODIG_MODULO_12'!G12:G51,FINAL_REPORT_ASESSMT_SO!F114)+COUNTIF('EF_ASESSM_SO#_CODIG_MODULO_13'!G12:G51,FINAL_REPORT_ASESSMT_SO!F114)+COUNTIF('EF_ASESSM_SO#_CODIG_MODULO_14'!G12:G51,FINAL_REPORT_ASESSMT_SO!F114)+COUNTIF('EF_ASESSM_SO#_CODIG_MODULO_15'!G12:G51,FINAL_REPORT_ASESSMT_SO!F114))/FINAL_REPORT_ASESSMT_SO!G20,0)</f>
        <v>0</v>
      </c>
      <c r="G132" s="41">
        <f>IFERROR((COUNTIF('EF_ASESSM_SO#_CODIG_MODULO_1'!G12:G51,FINAL_REPORT_ASESSMT_SO!G114)+COUNTIF('EF_ASESSM_SO#_CODIG_MODULO_2'!G12:G50,FINAL_REPORT_ASESSMT_SO!G114)+COUNTIF('EF_ASESSM_SO#_CODIG_MODULO_3'!G12:G51,FINAL_REPORT_ASESSMT_SO!G114) +COUNTIF('EF_ASESSM_SO#_CODIG_MODULO_4'!G12:G51,FINAL_REPORT_ASESSMT_SO!G114) +COUNTIF('EF_ASESSM_SO#_CODIG_MODULO_5'!G12:G51,FINAL_REPORT_ASESSMT_SO!G114) +COUNTIF('EF_ASESSM_SO#_CODIG_MODULO_6'!G12:G51,FINAL_REPORT_ASESSMT_SO!G114)+COUNTIF('EF_ASESSM_SO#_CODIG_MODULO_7'!G12:G51,FINAL_REPORT_ASESSMT_SO!G114)+COUNTIF('EF_ASESSM_SO#_CODIG_MODULO_8'!G12:G51,FINAL_REPORT_ASESSMT_SO!G114)+COUNTIF('EF_ASESSM_SO#_CODIG_MODULO_9'!G12:G51,FINAL_REPORT_ASESSMT_SO!G114)+COUNTIF('EF_ASESSM_SO#_CODIG_MODULO_10'!G12:G51,FINAL_REPORT_ASESSMT_SO!G114)+COUNTIF('EF_ASESSM_SO#_CODIG_MODULO_11'!G12:G51,FINAL_REPORT_ASESSMT_SO!G114)+COUNTIF('EF_ASESSM_SO#_CODIG_MODULO_12'!G12:G51,FINAL_REPORT_ASESSMT_SO!G114)+COUNTIF('EF_ASESSM_SO#_CODIG_MODULO_13'!G12:G51,FINAL_REPORT_ASESSMT_SO!G114)+COUNTIF('EF_ASESSM_SO#_CODIG_MODULO_14'!G12:G51,FINAL_REPORT_ASESSMT_SO!G114)+COUNTIF('EF_ASESSM_SO#_CODIG_MODULO_15'!G12:G51,FINAL_REPORT_ASESSMT_SO!G114))/FINAL_REPORT_ASESSMT_SO!G20,0)</f>
        <v>0</v>
      </c>
      <c r="H132" s="41">
        <f>IFERROR((COUNTIF('EF_ASESSM_SO#_CODIG_MODULO_1'!G12:G51,FINAL_REPORT_ASESSMT_SO!H114)+COUNTIF('EF_ASESSM_SO#_CODIG_MODULO_2'!G12:G50,FINAL_REPORT_ASESSMT_SO!H114)+COUNTIF('EF_ASESSM_SO#_CODIG_MODULO_3'!G12:G51,FINAL_REPORT_ASESSMT_SO!H114) +COUNTIF('EF_ASESSM_SO#_CODIG_MODULO_4'!G12:G51,FINAL_REPORT_ASESSMT_SO!H114) +COUNTIF('EF_ASESSM_SO#_CODIG_MODULO_5'!G12:G51,FINAL_REPORT_ASESSMT_SO!H114) +COUNTIF('EF_ASESSM_SO#_CODIG_MODULO_6'!G12:G51,FINAL_REPORT_ASESSMT_SO!H114)+COUNTIF('EF_ASESSM_SO#_CODIG_MODULO_7'!G12:G51,FINAL_REPORT_ASESSMT_SO!H114)+COUNTIF('EF_ASESSM_SO#_CODIG_MODULO_8'!G12:G51,FINAL_REPORT_ASESSMT_SO!H114)+COUNTIF('EF_ASESSM_SO#_CODIG_MODULO_9'!G12:G51,FINAL_REPORT_ASESSMT_SO!H114)+COUNTIF('EF_ASESSM_SO#_CODIG_MODULO_10'!G12:G51,FINAL_REPORT_ASESSMT_SO!H114)+COUNTIF('EF_ASESSM_SO#_CODIG_MODULO_11'!G12:G51,FINAL_REPORT_ASESSMT_SO!H114)+COUNTIF('EF_ASESSM_SO#_CODIG_MODULO_12'!G12:G51,FINAL_REPORT_ASESSMT_SO!H114)+COUNTIF('EF_ASESSM_SO#_CODIG_MODULO_13'!G12:G51,FINAL_REPORT_ASESSMT_SO!H114)+COUNTIF('EF_ASESSM_SO#_CODIG_MODULO_14'!G12:G51,FINAL_REPORT_ASESSMT_SO!H114)+COUNTIF('EF_ASESSM_SO#_CODIG_MODULO_15'!G12:G51,FINAL_REPORT_ASESSMT_SO!H114))/FINAL_REPORT_ASESSMT_SO!G20,0)</f>
        <v>0</v>
      </c>
      <c r="I132" s="41">
        <f>IFERROR((COUNTIF('EF_ASESSM_SO#_CODIG_MODULO_1'!G12:G51,FINAL_REPORT_ASESSMT_SO!I114)+COUNTIF('EF_ASESSM_SO#_CODIG_MODULO_2'!G12:G50,FINAL_REPORT_ASESSMT_SO!I114)+COUNTIF('EF_ASESSM_SO#_CODIG_MODULO_3'!G12:G51,FINAL_REPORT_ASESSMT_SO!I114) +COUNTIF('EF_ASESSM_SO#_CODIG_MODULO_4'!G12:G51,FINAL_REPORT_ASESSMT_SO!I114) +COUNTIF('EF_ASESSM_SO#_CODIG_MODULO_5'!G12:G51,FINAL_REPORT_ASESSMT_SO!I114) +COUNTIF('EF_ASESSM_SO#_CODIG_MODULO_6'!G12:G51,FINAL_REPORT_ASESSMT_SO!I114)+COUNTIF('EF_ASESSM_SO#_CODIG_MODULO_7'!G12:G51,FINAL_REPORT_ASESSMT_SO!I114)+COUNTIF('EF_ASESSM_SO#_CODIG_MODULO_8'!G12:G51,FINAL_REPORT_ASESSMT_SO!I114)+COUNTIF('EF_ASESSM_SO#_CODIG_MODULO_9'!G12:G51,FINAL_REPORT_ASESSMT_SO!I114)+COUNTIF('EF_ASESSM_SO#_CODIG_MODULO_10'!G12:G51,FINAL_REPORT_ASESSMT_SO!I114)+COUNTIF('EF_ASESSM_SO#_CODIG_MODULO_11'!G12:G51,FINAL_REPORT_ASESSMT_SO!I114)+COUNTIF('EF_ASESSM_SO#_CODIG_MODULO_12'!G12:G51,FINAL_REPORT_ASESSMT_SO!I114)+COUNTIF('EF_ASESSM_SO#_CODIG_MODULO_13'!G12:G51,FINAL_REPORT_ASESSMT_SO!I114)+COUNTIF('EF_ASESSM_SO#_CODIG_MODULO_14'!G12:G51,FINAL_REPORT_ASESSMT_SO!I114)+COUNTIF('EF_ASESSM_SO#_CODIG_MODULO_15'!G12:G51,FINAL_REPORT_ASESSMT_SO!I114))/FINAL_REPORT_ASESSMT_SO!G20,0)</f>
        <v>0</v>
      </c>
      <c r="J132" s="47">
        <f>+MAX(F132:I132)</f>
        <v>0</v>
      </c>
      <c r="V132" s="30"/>
    </row>
    <row r="133" spans="2:22" ht="9" customHeight="1" x14ac:dyDescent="0.25">
      <c r="B133" s="29"/>
      <c r="V133" s="30"/>
    </row>
    <row r="134" spans="2:22" ht="7.5" customHeight="1" x14ac:dyDescent="0.25">
      <c r="B134" s="29"/>
      <c r="V134" s="30"/>
    </row>
    <row r="135" spans="2:22" ht="15" customHeight="1" x14ac:dyDescent="0.25">
      <c r="B135" s="29"/>
      <c r="V135" s="30"/>
    </row>
    <row r="136" spans="2:22" ht="15" customHeight="1" x14ac:dyDescent="0.25">
      <c r="B136" s="29"/>
      <c r="V136" s="30"/>
    </row>
    <row r="137" spans="2:22" ht="15" customHeight="1" x14ac:dyDescent="0.25">
      <c r="B137" s="29"/>
      <c r="V137" s="30"/>
    </row>
    <row r="138" spans="2:22" ht="15" customHeight="1" x14ac:dyDescent="0.25">
      <c r="B138" s="29"/>
      <c r="V138" s="30"/>
    </row>
    <row r="139" spans="2:22" ht="15" customHeight="1" x14ac:dyDescent="0.25">
      <c r="B139" s="29"/>
      <c r="V139" s="30"/>
    </row>
    <row r="140" spans="2:22" ht="15" customHeight="1" x14ac:dyDescent="0.25">
      <c r="B140" s="29"/>
      <c r="V140" s="30"/>
    </row>
    <row r="141" spans="2:22" ht="15" customHeight="1" x14ac:dyDescent="0.25">
      <c r="B141" s="29"/>
      <c r="V141" s="30"/>
    </row>
    <row r="142" spans="2:22" ht="15" customHeight="1" x14ac:dyDescent="0.25">
      <c r="B142" s="29"/>
      <c r="V142" s="30"/>
    </row>
    <row r="143" spans="2:22" ht="15" customHeight="1" x14ac:dyDescent="0.25">
      <c r="B143" s="29"/>
      <c r="V143" s="30"/>
    </row>
    <row r="144" spans="2:22" ht="15" customHeight="1" x14ac:dyDescent="0.25">
      <c r="B144" s="29"/>
      <c r="V144" s="30"/>
    </row>
    <row r="145" spans="2:22" ht="15" customHeight="1" x14ac:dyDescent="0.25">
      <c r="B145" s="29"/>
      <c r="V145" s="30"/>
    </row>
    <row r="146" spans="2:22" ht="15" customHeight="1" x14ac:dyDescent="0.25">
      <c r="B146" s="29"/>
      <c r="V146" s="30"/>
    </row>
    <row r="147" spans="2:22" ht="15" customHeight="1" x14ac:dyDescent="0.25">
      <c r="B147" s="29"/>
      <c r="V147" s="30"/>
    </row>
    <row r="148" spans="2:22" ht="15" customHeight="1" x14ac:dyDescent="0.25">
      <c r="B148" s="29"/>
      <c r="V148" s="30"/>
    </row>
    <row r="149" spans="2:22" ht="15" customHeight="1" x14ac:dyDescent="0.25">
      <c r="B149" s="29"/>
      <c r="C149" s="145" t="s">
        <v>160</v>
      </c>
      <c r="D149" s="146"/>
      <c r="E149" s="147" t="s">
        <v>154</v>
      </c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9"/>
      <c r="V149" s="30"/>
    </row>
    <row r="150" spans="2:22" ht="99" customHeight="1" x14ac:dyDescent="0.25">
      <c r="B150" s="29"/>
      <c r="C150" s="134"/>
      <c r="D150" s="135"/>
      <c r="E150" s="150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2"/>
      <c r="V150" s="30"/>
    </row>
    <row r="151" spans="2:22" ht="15" customHeight="1" thickBot="1" x14ac:dyDescent="0.3">
      <c r="B151" s="32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4"/>
    </row>
    <row r="152" spans="2:22" ht="15" customHeight="1" x14ac:dyDescent="0.25">
      <c r="B152" s="27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28"/>
    </row>
    <row r="153" spans="2:22" ht="15" customHeight="1" x14ac:dyDescent="0.25">
      <c r="B153" s="29"/>
      <c r="C153" s="145" t="s">
        <v>161</v>
      </c>
      <c r="D153" s="146"/>
      <c r="E153" s="153" t="str">
        <f>+'RUBRIC SO#'!A10</f>
        <v>Verifica los procedimientos aplicando criterios para la rectificación de la información y documentación en las operaciones de importación e importación. (Pertinencia y Originalidad)</v>
      </c>
      <c r="F153" s="154"/>
      <c r="G153" s="154"/>
      <c r="H153" s="154"/>
      <c r="I153" s="154"/>
      <c r="J153" s="154"/>
      <c r="K153" s="154"/>
      <c r="L153" s="154"/>
      <c r="M153" s="154"/>
      <c r="N153" s="154"/>
      <c r="O153" s="154"/>
      <c r="P153" s="154"/>
      <c r="Q153" s="154"/>
      <c r="R153" s="154"/>
      <c r="S153" s="154"/>
      <c r="T153" s="154"/>
      <c r="U153" s="155"/>
      <c r="V153" s="30"/>
    </row>
    <row r="154" spans="2:22" ht="15" customHeight="1" x14ac:dyDescent="0.25">
      <c r="B154" s="29"/>
      <c r="C154" s="134"/>
      <c r="D154" s="135"/>
      <c r="E154" s="156"/>
      <c r="F154" s="157"/>
      <c r="G154" s="157"/>
      <c r="H154" s="157"/>
      <c r="I154" s="157"/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8"/>
      <c r="V154" s="30"/>
    </row>
    <row r="155" spans="2:22" ht="6" customHeight="1" x14ac:dyDescent="0.25">
      <c r="B155" s="29"/>
      <c r="V155" s="30"/>
    </row>
    <row r="156" spans="2:22" ht="15" customHeight="1" x14ac:dyDescent="0.25">
      <c r="B156" s="29"/>
      <c r="F156" s="46" t="s">
        <v>119</v>
      </c>
      <c r="G156" s="46" t="s">
        <v>120</v>
      </c>
      <c r="H156" s="46" t="s">
        <v>122</v>
      </c>
      <c r="I156" s="46" t="s">
        <v>124</v>
      </c>
      <c r="V156" s="30"/>
    </row>
    <row r="157" spans="2:22" ht="15" customHeight="1" x14ac:dyDescent="0.25">
      <c r="B157" s="29"/>
      <c r="F157" s="159" t="s">
        <v>130</v>
      </c>
      <c r="G157" s="159"/>
      <c r="H157" s="159"/>
      <c r="I157" s="159"/>
      <c r="J157" s="167" t="str">
        <f>IF(F174=J174,'RUBRIC SO#'!B10,IF(G174=J174,'RUBRIC SO#'!C10,IF(H174=J174,'RUBRIC SO#'!D10,IF(I174=J174,'RUBRIC SO#'!E10,"Error"))))</f>
        <v>No verifica ni rectifica los procedimientos.</v>
      </c>
      <c r="K157" s="168"/>
      <c r="L157" s="168"/>
      <c r="M157" s="168"/>
      <c r="N157" s="168"/>
      <c r="O157" s="168"/>
      <c r="P157" s="168"/>
      <c r="Q157" s="168"/>
      <c r="R157" s="168"/>
      <c r="S157" s="168"/>
      <c r="T157" s="168"/>
      <c r="U157" s="169"/>
      <c r="V157" s="30"/>
    </row>
    <row r="158" spans="2:22" ht="15" customHeight="1" x14ac:dyDescent="0.25">
      <c r="B158" s="29"/>
      <c r="F158" s="2" t="s">
        <v>132</v>
      </c>
      <c r="G158" s="3" t="s">
        <v>133</v>
      </c>
      <c r="H158" s="4" t="s">
        <v>134</v>
      </c>
      <c r="I158" s="5" t="s">
        <v>135</v>
      </c>
      <c r="J158" s="170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2"/>
      <c r="V158" s="30"/>
    </row>
    <row r="159" spans="2:22" ht="24" customHeight="1" x14ac:dyDescent="0.25">
      <c r="B159" s="29"/>
      <c r="E159" s="20">
        <f>IFERROR(E5,0)</f>
        <v>0</v>
      </c>
      <c r="F159" s="93">
        <f>+'EF_ASESSM_SO#_CODIG_MODULO_1'!E60</f>
        <v>0</v>
      </c>
      <c r="G159" s="93">
        <f>+'EF_ASESSM_SO#_CODIG_MODULO_1'!F60</f>
        <v>0</v>
      </c>
      <c r="H159" s="93">
        <f>+'EF_ASESSM_SO#_CODIG_MODULO_1'!G60</f>
        <v>0</v>
      </c>
      <c r="I159" s="93">
        <f>+'EF_ASESSM_SO#_CODIG_MODULO_1'!H60</f>
        <v>0</v>
      </c>
      <c r="J159" s="170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2"/>
      <c r="V159" s="30"/>
    </row>
    <row r="160" spans="2:22" ht="24" customHeight="1" x14ac:dyDescent="0.25">
      <c r="B160" s="29"/>
      <c r="E160" s="20">
        <f t="shared" ref="E160:E173" si="3">IFERROR(E6,0)</f>
        <v>0</v>
      </c>
      <c r="F160" s="94">
        <f>+'EF_ASESSM_SO#_CODIG_MODULO_2'!E60</f>
        <v>0</v>
      </c>
      <c r="G160" s="94">
        <f>+'EF_ASESSM_SO#_CODIG_MODULO_2'!F60</f>
        <v>0</v>
      </c>
      <c r="H160" s="94">
        <f>+'EF_ASESSM_SO#_CODIG_MODULO_2'!G60</f>
        <v>0</v>
      </c>
      <c r="I160" s="94">
        <f>+'EF_ASESSM_SO#_CODIG_MODULO_2'!H60</f>
        <v>0</v>
      </c>
      <c r="J160" s="170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2"/>
      <c r="V160" s="30"/>
    </row>
    <row r="161" spans="2:22" ht="24" customHeight="1" x14ac:dyDescent="0.25">
      <c r="B161" s="29"/>
      <c r="E161" s="20">
        <f t="shared" si="3"/>
        <v>0</v>
      </c>
      <c r="F161" s="94">
        <f>+'EF_ASESSM_SO#_CODIG_MODULO_3'!E60</f>
        <v>0</v>
      </c>
      <c r="G161" s="94">
        <f>+'EF_ASESSM_SO#_CODIG_MODULO_3'!F60</f>
        <v>0</v>
      </c>
      <c r="H161" s="94">
        <f>+'EF_ASESSM_SO#_CODIG_MODULO_3'!G60</f>
        <v>0</v>
      </c>
      <c r="I161" s="94">
        <f>+'EF_ASESSM_SO#_CODIG_MODULO_3'!H60</f>
        <v>0</v>
      </c>
      <c r="J161" s="170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2"/>
      <c r="V161" s="30"/>
    </row>
    <row r="162" spans="2:22" ht="24" customHeight="1" x14ac:dyDescent="0.25">
      <c r="B162" s="29"/>
      <c r="E162" s="20">
        <f t="shared" si="3"/>
        <v>0</v>
      </c>
      <c r="F162" s="94">
        <f>+'EF_ASESSM_SO#_CODIG_MODULO_4'!E60</f>
        <v>0</v>
      </c>
      <c r="G162" s="94">
        <f>+'EF_ASESSM_SO#_CODIG_MODULO_4'!F60</f>
        <v>0</v>
      </c>
      <c r="H162" s="94">
        <f>+'EF_ASESSM_SO#_CODIG_MODULO_4'!G60</f>
        <v>0</v>
      </c>
      <c r="I162" s="94">
        <f>+'EF_ASESSM_SO#_CODIG_MODULO_4'!H60</f>
        <v>0</v>
      </c>
      <c r="J162" s="170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2"/>
      <c r="V162" s="30"/>
    </row>
    <row r="163" spans="2:22" ht="24" customHeight="1" x14ac:dyDescent="0.25">
      <c r="B163" s="29"/>
      <c r="E163" s="20">
        <f t="shared" si="3"/>
        <v>0</v>
      </c>
      <c r="F163" s="94">
        <f>+'EF_ASESSM_SO#_CODIG_MODULO_5'!E60</f>
        <v>0</v>
      </c>
      <c r="G163" s="94">
        <f>+'EF_ASESSM_SO#_CODIG_MODULO_5'!F61</f>
        <v>0</v>
      </c>
      <c r="H163" s="94">
        <f>+'EF_ASESSM_SO#_CODIG_MODULO_5'!G61</f>
        <v>0</v>
      </c>
      <c r="I163" s="94">
        <f>+'EF_ASESSM_SO#_CODIG_MODULO_5'!H61</f>
        <v>0</v>
      </c>
      <c r="J163" s="170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2"/>
      <c r="V163" s="30"/>
    </row>
    <row r="164" spans="2:22" ht="24" customHeight="1" x14ac:dyDescent="0.25">
      <c r="B164" s="29"/>
      <c r="E164" s="20">
        <f t="shared" si="3"/>
        <v>0</v>
      </c>
      <c r="F164" s="94">
        <f>+'EF_ASESSM_SO#_CODIG_MODULO_6'!E60</f>
        <v>0</v>
      </c>
      <c r="G164" s="94">
        <f>+'EF_ASESSM_SO#_CODIG_MODULO_6'!F60</f>
        <v>0</v>
      </c>
      <c r="H164" s="94">
        <f>+'EF_ASESSM_SO#_CODIG_MODULO_6'!G60</f>
        <v>0</v>
      </c>
      <c r="I164" s="94">
        <f>+'EF_ASESSM_SO#_CODIG_MODULO_6'!H60</f>
        <v>0</v>
      </c>
      <c r="J164" s="170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2"/>
      <c r="V164" s="30"/>
    </row>
    <row r="165" spans="2:22" ht="24" customHeight="1" x14ac:dyDescent="0.25">
      <c r="B165" s="29"/>
      <c r="E165" s="20">
        <f t="shared" si="3"/>
        <v>0</v>
      </c>
      <c r="F165" s="94">
        <f>+'EF_ASESSM_SO#_CODIG_MODULO_7'!E60</f>
        <v>0</v>
      </c>
      <c r="G165" s="94">
        <f>+'EF_ASESSM_SO#_CODIG_MODULO_7'!F60</f>
        <v>0</v>
      </c>
      <c r="H165" s="94">
        <f>+'EF_ASESSM_SO#_CODIG_MODULO_7'!G60</f>
        <v>0</v>
      </c>
      <c r="I165" s="94">
        <f>+'EF_ASESSM_SO#_CODIG_MODULO_7'!H60</f>
        <v>0</v>
      </c>
      <c r="J165" s="170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2"/>
      <c r="V165" s="30"/>
    </row>
    <row r="166" spans="2:22" ht="24" customHeight="1" x14ac:dyDescent="0.25">
      <c r="B166" s="29"/>
      <c r="D166">
        <v>8</v>
      </c>
      <c r="E166" s="20">
        <f t="shared" si="3"/>
        <v>0</v>
      </c>
      <c r="F166" s="94">
        <f>+'EF_ASESSM_SO#_CODIG_MODULO_8'!E60</f>
        <v>0</v>
      </c>
      <c r="G166" s="94">
        <f>+'EF_ASESSM_SO#_CODIG_MODULO_8'!F60</f>
        <v>0</v>
      </c>
      <c r="H166" s="94">
        <f>+'EF_ASESSM_SO#_CODIG_MODULO_8'!G60</f>
        <v>0</v>
      </c>
      <c r="I166" s="94">
        <f>+'EF_ASESSM_SO#_CODIG_MODULO_8'!H60</f>
        <v>0</v>
      </c>
      <c r="J166" s="170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2"/>
      <c r="V166" s="30"/>
    </row>
    <row r="167" spans="2:22" ht="24" customHeight="1" x14ac:dyDescent="0.25">
      <c r="B167" s="29"/>
      <c r="D167">
        <v>9</v>
      </c>
      <c r="E167" s="20">
        <f t="shared" si="3"/>
        <v>0</v>
      </c>
      <c r="F167" s="94">
        <f>+'EF_ASESSM_SO#_CODIG_MODULO_9'!E60</f>
        <v>0</v>
      </c>
      <c r="G167" s="94">
        <f>+'EF_ASESSM_SO#_CODIG_MODULO_9'!F60</f>
        <v>0</v>
      </c>
      <c r="H167" s="94">
        <f>+'EF_ASESSM_SO#_CODIG_MODULO_9'!G60</f>
        <v>0</v>
      </c>
      <c r="I167" s="94">
        <f>+'EF_ASESSM_SO#_CODIG_MODULO_9'!H60</f>
        <v>0</v>
      </c>
      <c r="J167" s="170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2"/>
      <c r="V167" s="30"/>
    </row>
    <row r="168" spans="2:22" ht="24" customHeight="1" x14ac:dyDescent="0.25">
      <c r="B168" s="29"/>
      <c r="D168">
        <v>10</v>
      </c>
      <c r="E168" s="20">
        <f t="shared" si="3"/>
        <v>0</v>
      </c>
      <c r="F168" s="94">
        <f>+'EF_ASESSM_SO#_CODIG_MODULO_10'!E60</f>
        <v>0</v>
      </c>
      <c r="G168" s="94">
        <f>+'EF_ASESSM_SO#_CODIG_MODULO_10'!F60</f>
        <v>0</v>
      </c>
      <c r="H168" s="94">
        <f>+'EF_ASESSM_SO#_CODIG_MODULO_10'!G60</f>
        <v>0</v>
      </c>
      <c r="I168" s="94">
        <f>+'EF_ASESSM_SO#_CODIG_MODULO_10'!H60</f>
        <v>0</v>
      </c>
      <c r="J168" s="170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2"/>
      <c r="V168" s="30"/>
    </row>
    <row r="169" spans="2:22" ht="24" customHeight="1" x14ac:dyDescent="0.25">
      <c r="B169" s="29"/>
      <c r="D169">
        <v>11</v>
      </c>
      <c r="E169" s="20">
        <f t="shared" si="3"/>
        <v>0</v>
      </c>
      <c r="F169" s="94">
        <f>+'EF_ASESSM_SO#_CODIG_MODULO_11'!E60</f>
        <v>0</v>
      </c>
      <c r="G169" s="94">
        <f>+'EF_ASESSM_SO#_CODIG_MODULO_11'!F60</f>
        <v>0</v>
      </c>
      <c r="H169" s="94">
        <f>+'EF_ASESSM_SO#_CODIG_MODULO_11'!G60</f>
        <v>0</v>
      </c>
      <c r="I169" s="94">
        <f>+'EF_ASESSM_SO#_CODIG_MODULO_11'!H60</f>
        <v>0</v>
      </c>
      <c r="J169" s="170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2"/>
      <c r="V169" s="30"/>
    </row>
    <row r="170" spans="2:22" ht="24" customHeight="1" x14ac:dyDescent="0.25">
      <c r="B170" s="29"/>
      <c r="D170">
        <v>12</v>
      </c>
      <c r="E170" s="20">
        <f t="shared" si="3"/>
        <v>0</v>
      </c>
      <c r="F170" s="94">
        <f>+'EF_ASESSM_SO#_CODIG_MODULO_12'!E60</f>
        <v>0</v>
      </c>
      <c r="G170" s="94">
        <f>+'EF_ASESSM_SO#_CODIG_MODULO_12'!F60</f>
        <v>0</v>
      </c>
      <c r="H170" s="94">
        <f>+'EF_ASESSM_SO#_CODIG_MODULO_12'!G60</f>
        <v>0</v>
      </c>
      <c r="I170" s="94">
        <f>+'EF_ASESSM_SO#_CODIG_MODULO_12'!H60</f>
        <v>0</v>
      </c>
      <c r="J170" s="170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2"/>
      <c r="V170" s="30"/>
    </row>
    <row r="171" spans="2:22" ht="24" customHeight="1" x14ac:dyDescent="0.25">
      <c r="B171" s="29"/>
      <c r="D171">
        <v>13</v>
      </c>
      <c r="E171" s="20">
        <f t="shared" si="3"/>
        <v>0</v>
      </c>
      <c r="F171" s="94">
        <f>+'EF_ASESSM_SO#_CODIG_MODULO_13'!E60</f>
        <v>0</v>
      </c>
      <c r="G171" s="94">
        <f>+'EF_ASESSM_SO#_CODIG_MODULO_13'!F60</f>
        <v>0</v>
      </c>
      <c r="H171" s="94">
        <f>+'EF_ASESSM_SO#_CODIG_MODULO_13'!G60</f>
        <v>0</v>
      </c>
      <c r="I171" s="94">
        <f>+'EF_ASESSM_SO#_CODIG_MODULO_13'!H60</f>
        <v>0</v>
      </c>
      <c r="J171" s="170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2"/>
      <c r="V171" s="30"/>
    </row>
    <row r="172" spans="2:22" ht="24" customHeight="1" x14ac:dyDescent="0.25">
      <c r="B172" s="29"/>
      <c r="D172">
        <v>14</v>
      </c>
      <c r="E172" s="20">
        <f t="shared" si="3"/>
        <v>0</v>
      </c>
      <c r="F172" s="94">
        <f>+'EF_ASESSM_SO#_CODIG_MODULO_14'!E60</f>
        <v>0</v>
      </c>
      <c r="G172" s="94">
        <f>+'EF_ASESSM_SO#_CODIG_MODULO_14'!F60</f>
        <v>0</v>
      </c>
      <c r="H172" s="94">
        <f>+'EF_ASESSM_SO#_CODIG_MODULO_14'!G60</f>
        <v>0</v>
      </c>
      <c r="I172" s="94">
        <f>+'EF_ASESSM_SO#_CODIG_MODULO_14'!H60</f>
        <v>0</v>
      </c>
      <c r="J172" s="170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2"/>
      <c r="V172" s="30"/>
    </row>
    <row r="173" spans="2:22" ht="24" customHeight="1" x14ac:dyDescent="0.25">
      <c r="B173" s="29"/>
      <c r="D173">
        <v>15</v>
      </c>
      <c r="E173" s="20">
        <f t="shared" si="3"/>
        <v>0</v>
      </c>
      <c r="F173" s="94">
        <f>+'EF_ASESSM_SO#_CODIG_MODULO_15'!E60</f>
        <v>0</v>
      </c>
      <c r="G173" s="94">
        <f>+'EF_ASESSM_SO#_CODIG_MODULO_15'!F60</f>
        <v>0</v>
      </c>
      <c r="H173" s="94">
        <f>+'EF_ASESSM_SO#_CODIG_MODULO_15'!G60</f>
        <v>0</v>
      </c>
      <c r="I173" s="94">
        <f>+'EF_ASESSM_SO#_CODIG_MODULO_15'!H60</f>
        <v>0</v>
      </c>
      <c r="J173" s="173"/>
      <c r="K173" s="174"/>
      <c r="L173" s="174"/>
      <c r="M173" s="174"/>
      <c r="N173" s="174"/>
      <c r="O173" s="174"/>
      <c r="P173" s="174"/>
      <c r="Q173" s="174"/>
      <c r="R173" s="174"/>
      <c r="S173" s="174"/>
      <c r="T173" s="174"/>
      <c r="U173" s="175"/>
      <c r="V173" s="30"/>
    </row>
    <row r="174" spans="2:22" ht="15" customHeight="1" x14ac:dyDescent="0.25">
      <c r="B174" s="29"/>
      <c r="E174" s="20" t="s">
        <v>162</v>
      </c>
      <c r="F174" s="41">
        <f>IFERROR((COUNTIF('EF_ASESSM_SO#_CODIG_MODULO_1'!H12:H51,FINAL_REPORT_ASESSMT_SO!F156)+COUNTIF('EF_ASESSM_SO#_CODIG_MODULO_2'!H12:H51,FINAL_REPORT_ASESSMT_SO!F156)+COUNTIF('EF_ASESSM_SO#_CODIG_MODULO_3'!H12:H51,FINAL_REPORT_ASESSMT_SO!F156) +COUNTIF('EF_ASESSM_SO#_CODIG_MODULO_4'!H12:H51,FINAL_REPORT_ASESSMT_SO!F156) +COUNTIF('EF_ASESSM_SO#_CODIG_MODULO_5'!H12:H51,FINAL_REPORT_ASESSMT_SO!F156) +COUNTIF('EF_ASESSM_SO#_CODIG_MODULO_6'!H12:H51,FINAL_REPORT_ASESSMT_SO!F156)+COUNTIF('EF_ASESSM_SO#_CODIG_MODULO_7'!H12:H51,FINAL_REPORT_ASESSMT_SO!F156)+COUNTIF('EF_ASESSM_SO#_CODIG_MODULO_8'!H12:H51,FINAL_REPORT_ASESSMT_SO!F156)+COUNTIF('EF_ASESSM_SO#_CODIG_MODULO_9'!H12:H51,FINAL_REPORT_ASESSMT_SO!F156)+COUNTIF('EF_ASESSM_SO#_CODIG_MODULO_10'!H12:H51,FINAL_REPORT_ASESSMT_SO!F156)+COUNTIF('EF_ASESSM_SO#_CODIG_MODULO_11'!H12:H51,FINAL_REPORT_ASESSMT_SO!F156)+COUNTIF('EF_ASESSM_SO#_CODIG_MODULO_12'!H12:H51,FINAL_REPORT_ASESSMT_SO!F156)+COUNTIF('EF_ASESSM_SO#_CODIG_MODULO_13'!H12:H51,FINAL_REPORT_ASESSMT_SO!F156)+COUNTIF('EF_ASESSM_SO#_CODIG_MODULO_14'!H12:H51,FINAL_REPORT_ASESSMT_SO!F156)+COUNTIF('EF_ASESSM_SO#_CODIG_MODULO_15'!H12:H51,FINAL_REPORT_ASESSMT_SO!F156))/FINAL_REPORT_ASESSMT_SO!G20,0)</f>
        <v>0</v>
      </c>
      <c r="G174" s="41">
        <f>IFERROR((COUNTIF('EF_ASESSM_SO#_CODIG_MODULO_1'!H12:H51,FINAL_REPORT_ASESSMT_SO!G156)+COUNTIF('EF_ASESSM_SO#_CODIG_MODULO_2'!H12:H51,FINAL_REPORT_ASESSMT_SO!G156)+COUNTIF('EF_ASESSM_SO#_CODIG_MODULO_3'!H12:H51,FINAL_REPORT_ASESSMT_SO!G156) +COUNTIF('EF_ASESSM_SO#_CODIG_MODULO_4'!H12:H51,FINAL_REPORT_ASESSMT_SO!G156) +COUNTIF('EF_ASESSM_SO#_CODIG_MODULO_5'!H12:H51,FINAL_REPORT_ASESSMT_SO!G156) +COUNTIF('EF_ASESSM_SO#_CODIG_MODULO_6'!H12:H51,FINAL_REPORT_ASESSMT_SO!G156)+COUNTIF('EF_ASESSM_SO#_CODIG_MODULO_7'!H12:H51,FINAL_REPORT_ASESSMT_SO!G156)+COUNTIF('EF_ASESSM_SO#_CODIG_MODULO_8'!H12:H51,FINAL_REPORT_ASESSMT_SO!G156)+COUNTIF('EF_ASESSM_SO#_CODIG_MODULO_9'!H12:H51,FINAL_REPORT_ASESSMT_SO!G156)+COUNTIF('EF_ASESSM_SO#_CODIG_MODULO_10'!H12:H51,FINAL_REPORT_ASESSMT_SO!G156)+COUNTIF('EF_ASESSM_SO#_CODIG_MODULO_11'!H12:H51,FINAL_REPORT_ASESSMT_SO!G156)+COUNTIF('EF_ASESSM_SO#_CODIG_MODULO_12'!H12:H51,FINAL_REPORT_ASESSMT_SO!G156)+COUNTIF('EF_ASESSM_SO#_CODIG_MODULO_13'!H12:H51,FINAL_REPORT_ASESSMT_SO!G156)+COUNTIF('EF_ASESSM_SO#_CODIG_MODULO_14'!H12:H51,FINAL_REPORT_ASESSMT_SO!G156)+COUNTIF('EF_ASESSM_SO#_CODIG_MODULO_15'!H12:H51,FINAL_REPORT_ASESSMT_SO!G156))/FINAL_REPORT_ASESSMT_SO!G20,0)</f>
        <v>0</v>
      </c>
      <c r="H174" s="41">
        <f>IFERROR((COUNTIF('EF_ASESSM_SO#_CODIG_MODULO_1'!H12:H51,FINAL_REPORT_ASESSMT_SO!H156)+COUNTIF('EF_ASESSM_SO#_CODIG_MODULO_2'!H12:H51,FINAL_REPORT_ASESSMT_SO!H156)+COUNTIF('EF_ASESSM_SO#_CODIG_MODULO_3'!H12:H51,FINAL_REPORT_ASESSMT_SO!H156) +COUNTIF('EF_ASESSM_SO#_CODIG_MODULO_4'!H12:H51,FINAL_REPORT_ASESSMT_SO!H156) +COUNTIF('EF_ASESSM_SO#_CODIG_MODULO_5'!H12:H51,FINAL_REPORT_ASESSMT_SO!H156) +COUNTIF('EF_ASESSM_SO#_CODIG_MODULO_6'!H12:H51,FINAL_REPORT_ASESSMT_SO!H156)+COUNTIF('EF_ASESSM_SO#_CODIG_MODULO_7'!H12:H51,FINAL_REPORT_ASESSMT_SO!H156)+COUNTIF('EF_ASESSM_SO#_CODIG_MODULO_8'!H12:H51,FINAL_REPORT_ASESSMT_SO!H156)+COUNTIF('EF_ASESSM_SO#_CODIG_MODULO_9'!H12:H51,FINAL_REPORT_ASESSMT_SO!H156)+COUNTIF('EF_ASESSM_SO#_CODIG_MODULO_10'!H12:H51,FINAL_REPORT_ASESSMT_SO!H156)+COUNTIF('EF_ASESSM_SO#_CODIG_MODULO_11'!H12:H51,FINAL_REPORT_ASESSMT_SO!H156)+COUNTIF('EF_ASESSM_SO#_CODIG_MODULO_12'!H12:H51,FINAL_REPORT_ASESSMT_SO!H156)+COUNTIF('EF_ASESSM_SO#_CODIG_MODULO_13'!H12:H51,FINAL_REPORT_ASESSMT_SO!H156)+COUNTIF('EF_ASESSM_SO#_CODIG_MODULO_14'!H12:H51,FINAL_REPORT_ASESSMT_SO!H156)+COUNTIF('EF_ASESSM_SO#_CODIG_MODULO_15'!H12:H51,FINAL_REPORT_ASESSMT_SO!H156))/FINAL_REPORT_ASESSMT_SO!G20,0)</f>
        <v>0</v>
      </c>
      <c r="I174" s="41">
        <f>IFERROR((COUNTIF('EF_ASESSM_SO#_CODIG_MODULO_1'!H12:H51,FINAL_REPORT_ASESSMT_SO!I156)+COUNTIF('EF_ASESSM_SO#_CODIG_MODULO_2'!H12:H51,FINAL_REPORT_ASESSMT_SO!I156)+COUNTIF('EF_ASESSM_SO#_CODIG_MODULO_3'!H12:H51,FINAL_REPORT_ASESSMT_SO!I156) +COUNTIF('EF_ASESSM_SO#_CODIG_MODULO_4'!H12:H51,FINAL_REPORT_ASESSMT_SO!I156) +COUNTIF('EF_ASESSM_SO#_CODIG_MODULO_5'!H12:H51,FINAL_REPORT_ASESSMT_SO!I156) +COUNTIF('EF_ASESSM_SO#_CODIG_MODULO_6'!H12:H51,FINAL_REPORT_ASESSMT_SO!I156)+COUNTIF('EF_ASESSM_SO#_CODIG_MODULO_7'!H12:H51,FINAL_REPORT_ASESSMT_SO!I156)+COUNTIF('EF_ASESSM_SO#_CODIG_MODULO_8'!H12:H51,FINAL_REPORT_ASESSMT_SO!I156)+COUNTIF('EF_ASESSM_SO#_CODIG_MODULO_9'!H12:H51,FINAL_REPORT_ASESSMT_SO!I156)+COUNTIF('EF_ASESSM_SO#_CODIG_MODULO_10'!H12:H51,FINAL_REPORT_ASESSMT_SO!I156)+COUNTIF('EF_ASESSM_SO#_CODIG_MODULO_11'!H12:H51,FINAL_REPORT_ASESSMT_SO!I156)+COUNTIF('EF_ASESSM_SO#_CODIG_MODULO_12'!H12:H51,FINAL_REPORT_ASESSMT_SO!I156)+COUNTIF('EF_ASESSM_SO#_CODIG_MODULO_13'!H12:H51,FINAL_REPORT_ASESSMT_SO!I156)+COUNTIF('EF_ASESSM_SO#_CODIG_MODULO_14'!H12:H51,FINAL_REPORT_ASESSMT_SO!I156)+COUNTIF('EF_ASESSM_SO#_CODIG_MODULO_15'!H12:H51,FINAL_REPORT_ASESSMT_SO!I156))/FINAL_REPORT_ASESSMT_SO!G20,0)</f>
        <v>0</v>
      </c>
      <c r="J174" s="47">
        <f>+MAX(F174:I174)</f>
        <v>0</v>
      </c>
      <c r="V174" s="30"/>
    </row>
    <row r="175" spans="2:22" ht="9" customHeight="1" x14ac:dyDescent="0.25">
      <c r="B175" s="29"/>
      <c r="V175" s="30"/>
    </row>
    <row r="176" spans="2:22" ht="7.5" customHeight="1" x14ac:dyDescent="0.25">
      <c r="B176" s="29"/>
      <c r="V176" s="30"/>
    </row>
    <row r="177" spans="2:22" ht="15" customHeight="1" x14ac:dyDescent="0.25">
      <c r="B177" s="29"/>
      <c r="V177" s="30"/>
    </row>
    <row r="178" spans="2:22" ht="15" customHeight="1" x14ac:dyDescent="0.25">
      <c r="B178" s="29"/>
      <c r="V178" s="30"/>
    </row>
    <row r="179" spans="2:22" ht="15" customHeight="1" x14ac:dyDescent="0.25">
      <c r="B179" s="29"/>
      <c r="V179" s="30"/>
    </row>
    <row r="180" spans="2:22" ht="15" customHeight="1" x14ac:dyDescent="0.25">
      <c r="B180" s="29"/>
      <c r="V180" s="30"/>
    </row>
    <row r="181" spans="2:22" ht="15" customHeight="1" x14ac:dyDescent="0.25">
      <c r="B181" s="29"/>
      <c r="V181" s="30"/>
    </row>
    <row r="182" spans="2:22" ht="15" customHeight="1" x14ac:dyDescent="0.25">
      <c r="B182" s="29"/>
      <c r="V182" s="30"/>
    </row>
    <row r="183" spans="2:22" ht="15" customHeight="1" x14ac:dyDescent="0.25">
      <c r="B183" s="29"/>
      <c r="V183" s="30"/>
    </row>
    <row r="184" spans="2:22" ht="15" customHeight="1" x14ac:dyDescent="0.25">
      <c r="B184" s="29"/>
      <c r="V184" s="30"/>
    </row>
    <row r="185" spans="2:22" ht="15" customHeight="1" x14ac:dyDescent="0.25">
      <c r="B185" s="29"/>
      <c r="V185" s="30"/>
    </row>
    <row r="186" spans="2:22" ht="15" customHeight="1" x14ac:dyDescent="0.25">
      <c r="B186" s="29"/>
      <c r="V186" s="30"/>
    </row>
    <row r="187" spans="2:22" ht="15" customHeight="1" x14ac:dyDescent="0.25">
      <c r="B187" s="29"/>
      <c r="V187" s="30"/>
    </row>
    <row r="188" spans="2:22" ht="15" customHeight="1" x14ac:dyDescent="0.25">
      <c r="B188" s="29"/>
      <c r="V188" s="30"/>
    </row>
    <row r="189" spans="2:22" ht="15" customHeight="1" x14ac:dyDescent="0.25">
      <c r="B189" s="29"/>
      <c r="V189" s="30"/>
    </row>
    <row r="190" spans="2:22" ht="15" customHeight="1" x14ac:dyDescent="0.25">
      <c r="B190" s="29"/>
      <c r="V190" s="30"/>
    </row>
    <row r="191" spans="2:22" ht="15" customHeight="1" x14ac:dyDescent="0.25">
      <c r="B191" s="29"/>
      <c r="C191" s="145" t="s">
        <v>163</v>
      </c>
      <c r="D191" s="146"/>
      <c r="E191" s="147" t="s">
        <v>154</v>
      </c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9"/>
      <c r="V191" s="30"/>
    </row>
    <row r="192" spans="2:22" ht="99" customHeight="1" x14ac:dyDescent="0.25">
      <c r="B192" s="29"/>
      <c r="C192" s="134"/>
      <c r="D192" s="135"/>
      <c r="E192" s="150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2"/>
      <c r="V192" s="30"/>
    </row>
    <row r="193" spans="2:22" ht="15" customHeight="1" thickBot="1" x14ac:dyDescent="0.3">
      <c r="B193" s="32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4"/>
    </row>
    <row r="194" spans="2:22" ht="15" customHeight="1" x14ac:dyDescent="0.25">
      <c r="B194" s="27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28"/>
    </row>
    <row r="195" spans="2:22" ht="15" customHeight="1" x14ac:dyDescent="0.25">
      <c r="B195" s="29"/>
      <c r="C195" s="145" t="s">
        <v>164</v>
      </c>
      <c r="D195" s="146"/>
      <c r="E195" s="153">
        <f>+'RUBRIC SO#'!A11</f>
        <v>0</v>
      </c>
      <c r="F195" s="154"/>
      <c r="G195" s="154"/>
      <c r="H195" s="154"/>
      <c r="I195" s="154"/>
      <c r="J195" s="154"/>
      <c r="K195" s="154"/>
      <c r="L195" s="154"/>
      <c r="M195" s="154"/>
      <c r="N195" s="154"/>
      <c r="O195" s="154"/>
      <c r="P195" s="154"/>
      <c r="Q195" s="154"/>
      <c r="R195" s="154"/>
      <c r="S195" s="154"/>
      <c r="T195" s="154"/>
      <c r="U195" s="155"/>
      <c r="V195" s="30"/>
    </row>
    <row r="196" spans="2:22" ht="15" customHeight="1" x14ac:dyDescent="0.25">
      <c r="B196" s="29"/>
      <c r="C196" s="134"/>
      <c r="D196" s="135"/>
      <c r="E196" s="156"/>
      <c r="F196" s="157"/>
      <c r="G196" s="157"/>
      <c r="H196" s="157"/>
      <c r="I196" s="157"/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8"/>
      <c r="V196" s="30"/>
    </row>
    <row r="197" spans="2:22" ht="6" customHeight="1" x14ac:dyDescent="0.25">
      <c r="B197" s="29"/>
      <c r="V197" s="30"/>
    </row>
    <row r="198" spans="2:22" ht="15" customHeight="1" x14ac:dyDescent="0.25">
      <c r="B198" s="29"/>
      <c r="F198" s="46" t="s">
        <v>119</v>
      </c>
      <c r="G198" s="46" t="s">
        <v>120</v>
      </c>
      <c r="H198" s="46" t="s">
        <v>122</v>
      </c>
      <c r="I198" s="46" t="s">
        <v>124</v>
      </c>
      <c r="V198" s="30"/>
    </row>
    <row r="199" spans="2:22" ht="15" customHeight="1" x14ac:dyDescent="0.25">
      <c r="B199" s="29"/>
      <c r="F199" s="159" t="s">
        <v>130</v>
      </c>
      <c r="G199" s="159"/>
      <c r="H199" s="159"/>
      <c r="I199" s="159"/>
      <c r="J199" s="167">
        <f>IF(F216=J216,'RUBRIC SO#'!B11,IF(G216=J216,'RUBRIC SO#'!C11,IF(H216=J216,'RUBRIC SO#'!D11,IF(I216=J216,'RUBRIC SO#'!E11,"Error"))))</f>
        <v>0</v>
      </c>
      <c r="K199" s="168"/>
      <c r="L199" s="168"/>
      <c r="M199" s="168"/>
      <c r="N199" s="168"/>
      <c r="O199" s="168"/>
      <c r="P199" s="168"/>
      <c r="Q199" s="168"/>
      <c r="R199" s="168"/>
      <c r="S199" s="168"/>
      <c r="T199" s="168"/>
      <c r="U199" s="169"/>
      <c r="V199" s="30"/>
    </row>
    <row r="200" spans="2:22" ht="15" customHeight="1" x14ac:dyDescent="0.25">
      <c r="B200" s="29"/>
      <c r="F200" s="2" t="s">
        <v>132</v>
      </c>
      <c r="G200" s="3" t="s">
        <v>133</v>
      </c>
      <c r="H200" s="4" t="s">
        <v>134</v>
      </c>
      <c r="I200" s="5" t="s">
        <v>135</v>
      </c>
      <c r="J200" s="170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2"/>
      <c r="V200" s="30"/>
    </row>
    <row r="201" spans="2:22" ht="24" customHeight="1" x14ac:dyDescent="0.25">
      <c r="B201" s="29"/>
      <c r="E201" s="20">
        <f>IFERROR(E5,0)</f>
        <v>0</v>
      </c>
      <c r="F201" s="93">
        <f>+'EF_ASESSM_SO#_CODIG_MODULO_1'!E61</f>
        <v>0</v>
      </c>
      <c r="G201" s="93">
        <f>+'EF_ASESSM_SO#_CODIG_MODULO_1'!F61</f>
        <v>0</v>
      </c>
      <c r="H201" s="93">
        <f>+'EF_ASESSM_SO#_CODIG_MODULO_1'!G61</f>
        <v>0</v>
      </c>
      <c r="I201" s="93">
        <f>+'EF_ASESSM_SO#_CODIG_MODULO_1'!H61</f>
        <v>0</v>
      </c>
      <c r="J201" s="170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2"/>
      <c r="V201" s="30"/>
    </row>
    <row r="202" spans="2:22" ht="24" customHeight="1" x14ac:dyDescent="0.25">
      <c r="B202" s="29"/>
      <c r="E202" s="20">
        <f t="shared" ref="E202:E215" si="4">IFERROR(E6,0)</f>
        <v>0</v>
      </c>
      <c r="F202" s="94">
        <f>+'EF_ASESSM_SO#_CODIG_MODULO_2'!E61</f>
        <v>0</v>
      </c>
      <c r="G202" s="94">
        <f>+'EF_ASESSM_SO#_CODIG_MODULO_2'!F61</f>
        <v>0</v>
      </c>
      <c r="H202" s="94">
        <f>+'EF_ASESSM_SO#_CODIG_MODULO_2'!G61</f>
        <v>0</v>
      </c>
      <c r="I202" s="94">
        <f>+'EF_ASESSM_SO#_CODIG_MODULO_2'!H61</f>
        <v>0</v>
      </c>
      <c r="J202" s="170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2"/>
      <c r="V202" s="30"/>
    </row>
    <row r="203" spans="2:22" ht="24" customHeight="1" x14ac:dyDescent="0.25">
      <c r="B203" s="29"/>
      <c r="E203" s="20">
        <f t="shared" si="4"/>
        <v>0</v>
      </c>
      <c r="F203" s="94">
        <f>+'EF_ASESSM_SO#_CODIG_MODULO_3'!E61</f>
        <v>0</v>
      </c>
      <c r="G203" s="94">
        <f>+'EF_ASESSM_SO#_CODIG_MODULO_3'!F61</f>
        <v>0</v>
      </c>
      <c r="H203" s="94">
        <f>+'EF_ASESSM_SO#_CODIG_MODULO_3'!G61</f>
        <v>0</v>
      </c>
      <c r="I203" s="94">
        <f>+'EF_ASESSM_SO#_CODIG_MODULO_3'!H61</f>
        <v>0</v>
      </c>
      <c r="J203" s="170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2"/>
      <c r="V203" s="30"/>
    </row>
    <row r="204" spans="2:22" ht="24" customHeight="1" x14ac:dyDescent="0.25">
      <c r="B204" s="29"/>
      <c r="E204" s="20">
        <f t="shared" si="4"/>
        <v>0</v>
      </c>
      <c r="F204" s="94">
        <f>+'EF_ASESSM_SO#_CODIG_MODULO_4'!E61</f>
        <v>0</v>
      </c>
      <c r="G204" s="94">
        <f>+'EF_ASESSM_SO#_CODIG_MODULO_4'!F61</f>
        <v>0</v>
      </c>
      <c r="H204" s="94">
        <f>+'EF_ASESSM_SO#_CODIG_MODULO_4'!G61</f>
        <v>0</v>
      </c>
      <c r="I204" s="94">
        <f>+'EF_ASESSM_SO#_CODIG_MODULO_4'!H61</f>
        <v>0</v>
      </c>
      <c r="J204" s="170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2"/>
      <c r="V204" s="30"/>
    </row>
    <row r="205" spans="2:22" ht="24" customHeight="1" x14ac:dyDescent="0.25">
      <c r="B205" s="29"/>
      <c r="E205" s="20">
        <f t="shared" si="4"/>
        <v>0</v>
      </c>
      <c r="F205" s="94">
        <f>+'EF_ASESSM_SO#_CODIG_MODULO_5'!E61</f>
        <v>0</v>
      </c>
      <c r="G205" s="94">
        <f>+'EF_ASESSM_SO#_CODIG_MODULO_5'!F61</f>
        <v>0</v>
      </c>
      <c r="H205" s="94">
        <f>+'EF_ASESSM_SO#_CODIG_MODULO_5'!G61</f>
        <v>0</v>
      </c>
      <c r="I205" s="94">
        <f>+'EF_ASESSM_SO#_CODIG_MODULO_5'!H61</f>
        <v>0</v>
      </c>
      <c r="J205" s="170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2"/>
      <c r="V205" s="30"/>
    </row>
    <row r="206" spans="2:22" ht="24" customHeight="1" x14ac:dyDescent="0.25">
      <c r="B206" s="29"/>
      <c r="E206" s="20">
        <f t="shared" si="4"/>
        <v>0</v>
      </c>
      <c r="F206" s="94">
        <f>+'EF_ASESSM_SO#_CODIG_MODULO_6'!E61</f>
        <v>0</v>
      </c>
      <c r="G206" s="94">
        <f>+'EF_ASESSM_SO#_CODIG_MODULO_6'!F61</f>
        <v>0</v>
      </c>
      <c r="H206" s="94">
        <f>+'EF_ASESSM_SO#_CODIG_MODULO_6'!G61</f>
        <v>0</v>
      </c>
      <c r="I206" s="94">
        <f>+'EF_ASESSM_SO#_CODIG_MODULO_6'!H61</f>
        <v>0</v>
      </c>
      <c r="J206" s="170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2"/>
      <c r="V206" s="30"/>
    </row>
    <row r="207" spans="2:22" ht="24" customHeight="1" x14ac:dyDescent="0.25">
      <c r="B207" s="29"/>
      <c r="E207" s="20">
        <f t="shared" si="4"/>
        <v>0</v>
      </c>
      <c r="F207" s="94">
        <f>+'EF_ASESSM_SO#_CODIG_MODULO_7'!E61</f>
        <v>0</v>
      </c>
      <c r="G207" s="94">
        <f>+'EF_ASESSM_SO#_CODIG_MODULO_7'!F61</f>
        <v>0</v>
      </c>
      <c r="H207" s="94">
        <f>+'EF_ASESSM_SO#_CODIG_MODULO_7'!G61</f>
        <v>0</v>
      </c>
      <c r="I207" s="94">
        <f>+'EF_ASESSM_SO#_CODIG_MODULO_7'!H61</f>
        <v>0</v>
      </c>
      <c r="J207" s="170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2"/>
      <c r="V207" s="30"/>
    </row>
    <row r="208" spans="2:22" ht="24" customHeight="1" x14ac:dyDescent="0.25">
      <c r="B208" s="29"/>
      <c r="D208">
        <v>8</v>
      </c>
      <c r="E208" s="20">
        <f t="shared" si="4"/>
        <v>0</v>
      </c>
      <c r="F208" s="94">
        <f>+'EF_ASESSM_SO#_CODIG_MODULO_8'!E61</f>
        <v>0</v>
      </c>
      <c r="G208" s="94">
        <f>+'EF_ASESSM_SO#_CODIG_MODULO_8'!F61</f>
        <v>0</v>
      </c>
      <c r="H208" s="94">
        <f>+'EF_ASESSM_SO#_CODIG_MODULO_8'!G61</f>
        <v>0</v>
      </c>
      <c r="I208" s="94">
        <f>+'EF_ASESSM_SO#_CODIG_MODULO_8'!H61</f>
        <v>0</v>
      </c>
      <c r="J208" s="170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2"/>
      <c r="V208" s="30"/>
    </row>
    <row r="209" spans="2:22" ht="24" customHeight="1" x14ac:dyDescent="0.25">
      <c r="B209" s="29"/>
      <c r="D209">
        <v>9</v>
      </c>
      <c r="E209" s="20">
        <f t="shared" si="4"/>
        <v>0</v>
      </c>
      <c r="F209" s="94">
        <f>+'EF_ASESSM_SO#_CODIG_MODULO_9'!E61</f>
        <v>0</v>
      </c>
      <c r="G209" s="94">
        <f>+'EF_ASESSM_SO#_CODIG_MODULO_9'!F61</f>
        <v>0</v>
      </c>
      <c r="H209" s="94">
        <f>+'EF_ASESSM_SO#_CODIG_MODULO_9'!G61</f>
        <v>0</v>
      </c>
      <c r="I209" s="94">
        <f>+'EF_ASESSM_SO#_CODIG_MODULO_9'!H61</f>
        <v>0</v>
      </c>
      <c r="J209" s="170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2"/>
      <c r="V209" s="30"/>
    </row>
    <row r="210" spans="2:22" ht="24" customHeight="1" x14ac:dyDescent="0.25">
      <c r="B210" s="29"/>
      <c r="D210">
        <v>10</v>
      </c>
      <c r="E210" s="20">
        <f t="shared" si="4"/>
        <v>0</v>
      </c>
      <c r="F210" s="94">
        <f>+'EF_ASESSM_SO#_CODIG_MODULO_10'!E61</f>
        <v>0</v>
      </c>
      <c r="G210" s="94">
        <f>+'EF_ASESSM_SO#_CODIG_MODULO_10'!F61</f>
        <v>0</v>
      </c>
      <c r="H210" s="94">
        <f>+'EF_ASESSM_SO#_CODIG_MODULO_10'!G61</f>
        <v>0</v>
      </c>
      <c r="I210" s="94">
        <f>+'EF_ASESSM_SO#_CODIG_MODULO_10'!H61</f>
        <v>0</v>
      </c>
      <c r="J210" s="170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2"/>
      <c r="V210" s="30"/>
    </row>
    <row r="211" spans="2:22" ht="24" customHeight="1" x14ac:dyDescent="0.25">
      <c r="B211" s="29"/>
      <c r="D211">
        <v>11</v>
      </c>
      <c r="E211" s="20">
        <f t="shared" si="4"/>
        <v>0</v>
      </c>
      <c r="F211" s="94">
        <f>+'EF_ASESSM_SO#_CODIG_MODULO_11'!E61</f>
        <v>0</v>
      </c>
      <c r="G211" s="94">
        <f>+'EF_ASESSM_SO#_CODIG_MODULO_11'!F61</f>
        <v>0</v>
      </c>
      <c r="H211" s="94">
        <f>+'EF_ASESSM_SO#_CODIG_MODULO_11'!G61</f>
        <v>0</v>
      </c>
      <c r="I211" s="94">
        <f>+'EF_ASESSM_SO#_CODIG_MODULO_11'!H61</f>
        <v>0</v>
      </c>
      <c r="J211" s="170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2"/>
      <c r="V211" s="30"/>
    </row>
    <row r="212" spans="2:22" ht="24" customHeight="1" x14ac:dyDescent="0.25">
      <c r="B212" s="29"/>
      <c r="D212">
        <v>12</v>
      </c>
      <c r="E212" s="20">
        <f t="shared" si="4"/>
        <v>0</v>
      </c>
      <c r="F212" s="94">
        <f>+'EF_ASESSM_SO#_CODIG_MODULO_12'!E61</f>
        <v>0</v>
      </c>
      <c r="G212" s="94">
        <f>+'EF_ASESSM_SO#_CODIG_MODULO_12'!F61</f>
        <v>0</v>
      </c>
      <c r="H212" s="94">
        <f>+'EF_ASESSM_SO#_CODIG_MODULO_12'!G61</f>
        <v>0</v>
      </c>
      <c r="I212" s="94">
        <f>+'EF_ASESSM_SO#_CODIG_MODULO_12'!H61</f>
        <v>0</v>
      </c>
      <c r="J212" s="170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2"/>
      <c r="V212" s="30"/>
    </row>
    <row r="213" spans="2:22" ht="24" customHeight="1" x14ac:dyDescent="0.25">
      <c r="B213" s="29"/>
      <c r="D213">
        <v>13</v>
      </c>
      <c r="E213" s="20">
        <f t="shared" si="4"/>
        <v>0</v>
      </c>
      <c r="F213" s="94">
        <f>+'EF_ASESSM_SO#_CODIG_MODULO_13'!E61</f>
        <v>0</v>
      </c>
      <c r="G213" s="94">
        <f>+'EF_ASESSM_SO#_CODIG_MODULO_13'!F61</f>
        <v>0</v>
      </c>
      <c r="H213" s="94">
        <f>+'EF_ASESSM_SO#_CODIG_MODULO_13'!G61</f>
        <v>0</v>
      </c>
      <c r="I213" s="94">
        <f>+'EF_ASESSM_SO#_CODIG_MODULO_13'!H61</f>
        <v>0</v>
      </c>
      <c r="J213" s="170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2"/>
      <c r="V213" s="30"/>
    </row>
    <row r="214" spans="2:22" ht="24" customHeight="1" x14ac:dyDescent="0.25">
      <c r="B214" s="29"/>
      <c r="D214">
        <v>14</v>
      </c>
      <c r="E214" s="20">
        <f t="shared" si="4"/>
        <v>0</v>
      </c>
      <c r="F214" s="94">
        <f>+'EF_ASESSM_SO#_CODIG_MODULO_14'!E61</f>
        <v>0</v>
      </c>
      <c r="G214" s="94">
        <f>+'EF_ASESSM_SO#_CODIG_MODULO_14'!F61</f>
        <v>0</v>
      </c>
      <c r="H214" s="94">
        <f>+'EF_ASESSM_SO#_CODIG_MODULO_14'!G61</f>
        <v>0</v>
      </c>
      <c r="I214" s="94">
        <f>+'EF_ASESSM_SO#_CODIG_MODULO_14'!H61</f>
        <v>0</v>
      </c>
      <c r="J214" s="170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2"/>
      <c r="V214" s="30"/>
    </row>
    <row r="215" spans="2:22" ht="24" customHeight="1" x14ac:dyDescent="0.25">
      <c r="B215" s="29"/>
      <c r="D215">
        <v>15</v>
      </c>
      <c r="E215" s="20">
        <f t="shared" si="4"/>
        <v>0</v>
      </c>
      <c r="F215" s="94">
        <f>+'EF_ASESSM_SO#_CODIG_MODULO_15'!E61</f>
        <v>0</v>
      </c>
      <c r="G215" s="94">
        <f>+'EF_ASESSM_SO#_CODIG_MODULO_15'!F61</f>
        <v>0</v>
      </c>
      <c r="H215" s="94">
        <f>+'EF_ASESSM_SO#_CODIG_MODULO_15'!G61</f>
        <v>0</v>
      </c>
      <c r="I215" s="94">
        <f>+'EF_ASESSM_SO#_CODIG_MODULO_15'!H61</f>
        <v>0</v>
      </c>
      <c r="J215" s="173"/>
      <c r="K215" s="174"/>
      <c r="L215" s="174"/>
      <c r="M215" s="174"/>
      <c r="N215" s="174"/>
      <c r="O215" s="174"/>
      <c r="P215" s="174"/>
      <c r="Q215" s="174"/>
      <c r="R215" s="174"/>
      <c r="S215" s="174"/>
      <c r="T215" s="174"/>
      <c r="U215" s="175"/>
      <c r="V215" s="30"/>
    </row>
    <row r="216" spans="2:22" ht="15" customHeight="1" x14ac:dyDescent="0.25">
      <c r="B216" s="29"/>
      <c r="E216" s="20" t="s">
        <v>165</v>
      </c>
      <c r="F216" s="41">
        <f>IFERROR((COUNTIF('EF_ASESSM_SO#_CODIG_MODULO_1'!I12:I51,FINAL_REPORT_ASESSMT_SO!F198)+COUNTIF('EF_ASESSM_SO#_CODIG_MODULO_2'!I12:I51,FINAL_REPORT_ASESSMT_SO!F198)+COUNTIF('EF_ASESSM_SO#_CODIG_MODULO_3'!I12:I51,FINAL_REPORT_ASESSMT_SO!F198) +COUNTIF('EF_ASESSM_SO#_CODIG_MODULO_4'!I12:I51,FINAL_REPORT_ASESSMT_SO!F198) +COUNTIF('EF_ASESSM_SO#_CODIG_MODULO_5'!I12:I51,FINAL_REPORT_ASESSMT_SO!F198) +COUNTIF('EF_ASESSM_SO#_CODIG_MODULO_6'!I12:I51,FINAL_REPORT_ASESSMT_SO!F198)+COUNTIF('EF_ASESSM_SO#_CODIG_MODULO_7'!I12:I51,FINAL_REPORT_ASESSMT_SO!F198)+COUNTIF('EF_ASESSM_SO#_CODIG_MODULO_8'!I12:I51,FINAL_REPORT_ASESSMT_SO!F198)+COUNTIF('EF_ASESSM_SO#_CODIG_MODULO_9'!I12:I51,FINAL_REPORT_ASESSMT_SO!F198)+COUNTIF('EF_ASESSM_SO#_CODIG_MODULO_10'!I12:I51,FINAL_REPORT_ASESSMT_SO!F198)+COUNTIF('EF_ASESSM_SO#_CODIG_MODULO_11'!I12:I51,FINAL_REPORT_ASESSMT_SO!F198)+COUNTIF('EF_ASESSM_SO#_CODIG_MODULO_12'!I12:I51,FINAL_REPORT_ASESSMT_SO!F198)+COUNTIF('EF_ASESSM_SO#_CODIG_MODULO_13'!I12:I51,FINAL_REPORT_ASESSMT_SO!F198)+COUNTIF('EF_ASESSM_SO#_CODIG_MODULO_14'!I12:I51,FINAL_REPORT_ASESSMT_SO!F198)+COUNTIF('EF_ASESSM_SO#_CODIG_MODULO_15'!I12:I51,FINAL_REPORT_ASESSMT_SO!F198))/FINAL_REPORT_ASESSMT_SO!G20,0)</f>
        <v>0</v>
      </c>
      <c r="G216" s="41">
        <f>IFERROR((COUNTIF('EF_ASESSM_SO#_CODIG_MODULO_1'!I12:I51,FINAL_REPORT_ASESSMT_SO!G198)+COUNTIF('EF_ASESSM_SO#_CODIG_MODULO_2'!I12:I51,FINAL_REPORT_ASESSMT_SO!G198)+COUNTIF('EF_ASESSM_SO#_CODIG_MODULO_3'!I12:I51,FINAL_REPORT_ASESSMT_SO!G198) +COUNTIF('EF_ASESSM_SO#_CODIG_MODULO_4'!I12:I51,FINAL_REPORT_ASESSMT_SO!G198) +COUNTIF('EF_ASESSM_SO#_CODIG_MODULO_5'!I12:I51,FINAL_REPORT_ASESSMT_SO!G198) +COUNTIF('EF_ASESSM_SO#_CODIG_MODULO_6'!I12:I51,FINAL_REPORT_ASESSMT_SO!G198)+COUNTIF('EF_ASESSM_SO#_CODIG_MODULO_7'!I12:I51,FINAL_REPORT_ASESSMT_SO!G198)+COUNTIF('EF_ASESSM_SO#_CODIG_MODULO_8'!I12:I51,FINAL_REPORT_ASESSMT_SO!G198)+COUNTIF('EF_ASESSM_SO#_CODIG_MODULO_9'!I12:I51,FINAL_REPORT_ASESSMT_SO!G198)+COUNTIF('EF_ASESSM_SO#_CODIG_MODULO_10'!I12:I51,FINAL_REPORT_ASESSMT_SO!G198)+COUNTIF('EF_ASESSM_SO#_CODIG_MODULO_11'!I12:I51,FINAL_REPORT_ASESSMT_SO!G198)+COUNTIF('EF_ASESSM_SO#_CODIG_MODULO_12'!I12:I51,FINAL_REPORT_ASESSMT_SO!G198)+COUNTIF('EF_ASESSM_SO#_CODIG_MODULO_13'!I12:I51,FINAL_REPORT_ASESSMT_SO!G198)+COUNTIF('EF_ASESSM_SO#_CODIG_MODULO_14'!I12:I51,FINAL_REPORT_ASESSMT_SO!G198)+COUNTIF('EF_ASESSM_SO#_CODIG_MODULO_15'!I12:I51,FINAL_REPORT_ASESSMT_SO!G198))/FINAL_REPORT_ASESSMT_SO!G20,0)</f>
        <v>0</v>
      </c>
      <c r="H216" s="41">
        <f>IFERROR((COUNTIF('EF_ASESSM_SO#_CODIG_MODULO_1'!I12:I51,FINAL_REPORT_ASESSMT_SO!H198)+COUNTIF('EF_ASESSM_SO#_CODIG_MODULO_2'!I12:I51,FINAL_REPORT_ASESSMT_SO!H198)+COUNTIF('EF_ASESSM_SO#_CODIG_MODULO_3'!I12:I51,FINAL_REPORT_ASESSMT_SO!H198) +COUNTIF('EF_ASESSM_SO#_CODIG_MODULO_4'!I12:I51,FINAL_REPORT_ASESSMT_SO!H198) +COUNTIF('EF_ASESSM_SO#_CODIG_MODULO_5'!I12:I51,FINAL_REPORT_ASESSMT_SO!H198) +COUNTIF('EF_ASESSM_SO#_CODIG_MODULO_6'!I12:I51,FINAL_REPORT_ASESSMT_SO!H198)+COUNTIF('EF_ASESSM_SO#_CODIG_MODULO_7'!I12:I51,FINAL_REPORT_ASESSMT_SO!H198)+COUNTIF('EF_ASESSM_SO#_CODIG_MODULO_8'!I12:I51,FINAL_REPORT_ASESSMT_SO!H198)+COUNTIF('EF_ASESSM_SO#_CODIG_MODULO_9'!I12:I51,FINAL_REPORT_ASESSMT_SO!H198)+COUNTIF('EF_ASESSM_SO#_CODIG_MODULO_10'!I12:I51,FINAL_REPORT_ASESSMT_SO!H198)+COUNTIF('EF_ASESSM_SO#_CODIG_MODULO_11'!I12:I51,FINAL_REPORT_ASESSMT_SO!H198)+COUNTIF('EF_ASESSM_SO#_CODIG_MODULO_12'!I12:I51,FINAL_REPORT_ASESSMT_SO!H198)+COUNTIF('EF_ASESSM_SO#_CODIG_MODULO_13'!I12:I51,FINAL_REPORT_ASESSMT_SO!H198)+COUNTIF('EF_ASESSM_SO#_CODIG_MODULO_14'!I12:I51,FINAL_REPORT_ASESSMT_SO!H198)+COUNTIF('EF_ASESSM_SO#_CODIG_MODULO_15'!I12:I51,FINAL_REPORT_ASESSMT_SO!H198))/FINAL_REPORT_ASESSMT_SO!G20,0)</f>
        <v>0</v>
      </c>
      <c r="I216" s="41">
        <f>IFERROR((COUNTIF('EF_ASESSM_SO#_CODIG_MODULO_1'!I12:I51,FINAL_REPORT_ASESSMT_SO!I198)+COUNTIF('EF_ASESSM_SO#_CODIG_MODULO_2'!I12:I51,FINAL_REPORT_ASESSMT_SO!I198)+COUNTIF('EF_ASESSM_SO#_CODIG_MODULO_3'!I12:I51,FINAL_REPORT_ASESSMT_SO!I198) +COUNTIF('EF_ASESSM_SO#_CODIG_MODULO_4'!I12:I51,FINAL_REPORT_ASESSMT_SO!I198) +COUNTIF('EF_ASESSM_SO#_CODIG_MODULO_5'!I12:I51,FINAL_REPORT_ASESSMT_SO!I198) +COUNTIF('EF_ASESSM_SO#_CODIG_MODULO_6'!I12:I51,FINAL_REPORT_ASESSMT_SO!I198)+COUNTIF('EF_ASESSM_SO#_CODIG_MODULO_7'!I12:I51,FINAL_REPORT_ASESSMT_SO!I198)+COUNTIF('EF_ASESSM_SO#_CODIG_MODULO_8'!I12:I51,FINAL_REPORT_ASESSMT_SO!I198)+COUNTIF('EF_ASESSM_SO#_CODIG_MODULO_9'!I12:I51,FINAL_REPORT_ASESSMT_SO!I198)+COUNTIF('EF_ASESSM_SO#_CODIG_MODULO_10'!I12:I51,FINAL_REPORT_ASESSMT_SO!I198)+COUNTIF('EF_ASESSM_SO#_CODIG_MODULO_11'!I12:I51,FINAL_REPORT_ASESSMT_SO!I198)+COUNTIF('EF_ASESSM_SO#_CODIG_MODULO_12'!I12:I51,FINAL_REPORT_ASESSMT_SO!I198)+COUNTIF('EF_ASESSM_SO#_CODIG_MODULO_13'!I12:I51,FINAL_REPORT_ASESSMT_SO!I198)+COUNTIF('EF_ASESSM_SO#_CODIG_MODULO_14'!I12:I51,FINAL_REPORT_ASESSMT_SO!I198)+COUNTIF('EF_ASESSM_SO#_CODIG_MODULO_15'!I12:I51,FINAL_REPORT_ASESSMT_SO!I198))/FINAL_REPORT_ASESSMT_SO!G20,0)</f>
        <v>0</v>
      </c>
      <c r="J216" s="47">
        <f>+MAX(F216:I216)</f>
        <v>0</v>
      </c>
      <c r="V216" s="30"/>
    </row>
    <row r="217" spans="2:22" ht="9" customHeight="1" x14ac:dyDescent="0.25">
      <c r="B217" s="29"/>
      <c r="V217" s="30"/>
    </row>
    <row r="218" spans="2:22" ht="7.5" customHeight="1" x14ac:dyDescent="0.25">
      <c r="B218" s="29"/>
      <c r="V218" s="30"/>
    </row>
    <row r="219" spans="2:22" ht="15" customHeight="1" x14ac:dyDescent="0.25">
      <c r="B219" s="29"/>
      <c r="V219" s="30"/>
    </row>
    <row r="220" spans="2:22" ht="15" customHeight="1" x14ac:dyDescent="0.25">
      <c r="B220" s="29"/>
      <c r="V220" s="30"/>
    </row>
    <row r="221" spans="2:22" ht="15" customHeight="1" x14ac:dyDescent="0.25">
      <c r="B221" s="29"/>
      <c r="V221" s="30"/>
    </row>
    <row r="222" spans="2:22" ht="15" customHeight="1" x14ac:dyDescent="0.25">
      <c r="B222" s="29"/>
      <c r="V222" s="30"/>
    </row>
    <row r="223" spans="2:22" ht="15" customHeight="1" x14ac:dyDescent="0.25">
      <c r="B223" s="29"/>
      <c r="V223" s="30"/>
    </row>
    <row r="224" spans="2:22" ht="15" customHeight="1" x14ac:dyDescent="0.25">
      <c r="B224" s="29"/>
      <c r="V224" s="30"/>
    </row>
    <row r="225" spans="2:22" ht="15" customHeight="1" x14ac:dyDescent="0.25">
      <c r="B225" s="29"/>
      <c r="V225" s="30"/>
    </row>
    <row r="226" spans="2:22" ht="15" customHeight="1" x14ac:dyDescent="0.25">
      <c r="B226" s="29"/>
      <c r="V226" s="30"/>
    </row>
    <row r="227" spans="2:22" ht="15" customHeight="1" x14ac:dyDescent="0.25">
      <c r="B227" s="29"/>
      <c r="V227" s="30"/>
    </row>
    <row r="228" spans="2:22" ht="15" customHeight="1" x14ac:dyDescent="0.25">
      <c r="B228" s="29"/>
      <c r="V228" s="30"/>
    </row>
    <row r="229" spans="2:22" ht="15" customHeight="1" x14ac:dyDescent="0.25">
      <c r="B229" s="29"/>
      <c r="V229" s="30"/>
    </row>
    <row r="230" spans="2:22" ht="15" customHeight="1" x14ac:dyDescent="0.25">
      <c r="B230" s="29"/>
      <c r="V230" s="30"/>
    </row>
    <row r="231" spans="2:22" ht="15" customHeight="1" x14ac:dyDescent="0.25">
      <c r="B231" s="29"/>
      <c r="V231" s="30"/>
    </row>
    <row r="232" spans="2:22" ht="15" customHeight="1" x14ac:dyDescent="0.25">
      <c r="B232" s="29"/>
      <c r="V232" s="30"/>
    </row>
    <row r="233" spans="2:22" ht="15" customHeight="1" x14ac:dyDescent="0.25">
      <c r="B233" s="29"/>
      <c r="C233" s="145" t="s">
        <v>166</v>
      </c>
      <c r="D233" s="146"/>
      <c r="E233" s="147" t="s">
        <v>154</v>
      </c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9"/>
      <c r="V233" s="30"/>
    </row>
    <row r="234" spans="2:22" ht="99" customHeight="1" x14ac:dyDescent="0.25">
      <c r="B234" s="29"/>
      <c r="C234" s="134"/>
      <c r="D234" s="135"/>
      <c r="E234" s="150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2"/>
      <c r="V234" s="30"/>
    </row>
    <row r="235" spans="2:22" ht="15" customHeight="1" thickBot="1" x14ac:dyDescent="0.3">
      <c r="B235" s="32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4"/>
    </row>
    <row r="236" spans="2:22" ht="15" customHeight="1" x14ac:dyDescent="0.25">
      <c r="B236" s="27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28"/>
    </row>
    <row r="237" spans="2:22" ht="15" customHeight="1" x14ac:dyDescent="0.25">
      <c r="B237" s="29"/>
      <c r="C237" s="145" t="s">
        <v>167</v>
      </c>
      <c r="D237" s="146"/>
      <c r="E237" s="153">
        <f>+'RUBRIC SO#'!A12</f>
        <v>0</v>
      </c>
      <c r="F237" s="154"/>
      <c r="G237" s="154"/>
      <c r="H237" s="154"/>
      <c r="I237" s="154"/>
      <c r="J237" s="154"/>
      <c r="K237" s="154"/>
      <c r="L237" s="154"/>
      <c r="M237" s="154"/>
      <c r="N237" s="154"/>
      <c r="O237" s="154"/>
      <c r="P237" s="154"/>
      <c r="Q237" s="154"/>
      <c r="R237" s="154"/>
      <c r="S237" s="154"/>
      <c r="T237" s="154"/>
      <c r="U237" s="155"/>
      <c r="V237" s="30"/>
    </row>
    <row r="238" spans="2:22" ht="15" customHeight="1" x14ac:dyDescent="0.25">
      <c r="B238" s="29"/>
      <c r="C238" s="134"/>
      <c r="D238" s="135"/>
      <c r="E238" s="156"/>
      <c r="F238" s="157"/>
      <c r="G238" s="157"/>
      <c r="H238" s="157"/>
      <c r="I238" s="157"/>
      <c r="J238" s="157"/>
      <c r="K238" s="157"/>
      <c r="L238" s="157"/>
      <c r="M238" s="157"/>
      <c r="N238" s="157"/>
      <c r="O238" s="157"/>
      <c r="P238" s="157"/>
      <c r="Q238" s="157"/>
      <c r="R238" s="157"/>
      <c r="S238" s="157"/>
      <c r="T238" s="157"/>
      <c r="U238" s="158"/>
      <c r="V238" s="30"/>
    </row>
    <row r="239" spans="2:22" ht="6" customHeight="1" x14ac:dyDescent="0.25">
      <c r="B239" s="29"/>
      <c r="V239" s="30"/>
    </row>
    <row r="240" spans="2:22" ht="15" customHeight="1" x14ac:dyDescent="0.25">
      <c r="B240" s="29"/>
      <c r="F240" s="46" t="s">
        <v>119</v>
      </c>
      <c r="G240" s="46" t="s">
        <v>120</v>
      </c>
      <c r="H240" s="46" t="s">
        <v>122</v>
      </c>
      <c r="I240" s="46" t="s">
        <v>124</v>
      </c>
      <c r="V240" s="30"/>
    </row>
    <row r="241" spans="2:22" ht="15" customHeight="1" x14ac:dyDescent="0.25">
      <c r="B241" s="29"/>
      <c r="F241" s="159" t="s">
        <v>130</v>
      </c>
      <c r="G241" s="159"/>
      <c r="H241" s="159"/>
      <c r="I241" s="159"/>
      <c r="J241" s="167">
        <f>IF(F258=J258,'RUBRIC SO#'!B12,IF(G258=J258,'RUBRIC SO#'!C12,IF(H258=J258,'RUBRIC SO#'!D12,IF(I258=J258,'RUBRIC SO#'!E12,"Error"))))</f>
        <v>0</v>
      </c>
      <c r="K241" s="168"/>
      <c r="L241" s="168"/>
      <c r="M241" s="168"/>
      <c r="N241" s="168"/>
      <c r="O241" s="168"/>
      <c r="P241" s="168"/>
      <c r="Q241" s="168"/>
      <c r="R241" s="168"/>
      <c r="S241" s="168"/>
      <c r="T241" s="168"/>
      <c r="U241" s="169"/>
      <c r="V241" s="30"/>
    </row>
    <row r="242" spans="2:22" ht="15" customHeight="1" x14ac:dyDescent="0.25">
      <c r="B242" s="29"/>
      <c r="F242" s="2" t="s">
        <v>132</v>
      </c>
      <c r="G242" s="3" t="s">
        <v>133</v>
      </c>
      <c r="H242" s="4" t="s">
        <v>134</v>
      </c>
      <c r="I242" s="5" t="s">
        <v>135</v>
      </c>
      <c r="J242" s="170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2"/>
      <c r="V242" s="30"/>
    </row>
    <row r="243" spans="2:22" ht="24" customHeight="1" x14ac:dyDescent="0.25">
      <c r="B243" s="29"/>
      <c r="E243" s="20">
        <f>IFERROR(E5,0)</f>
        <v>0</v>
      </c>
      <c r="F243" s="93">
        <f>+'EF_ASESSM_SO#_CODIG_MODULO_1'!E62</f>
        <v>0</v>
      </c>
      <c r="G243" s="93">
        <f>+'EF_ASESSM_SO#_CODIG_MODULO_1'!F62</f>
        <v>0</v>
      </c>
      <c r="H243" s="93">
        <f>+'EF_ASESSM_SO#_CODIG_MODULO_1'!G62</f>
        <v>0</v>
      </c>
      <c r="I243" s="93">
        <f>+'EF_ASESSM_SO#_CODIG_MODULO_1'!H62</f>
        <v>0</v>
      </c>
      <c r="J243" s="170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2"/>
      <c r="V243" s="30"/>
    </row>
    <row r="244" spans="2:22" ht="24" customHeight="1" x14ac:dyDescent="0.25">
      <c r="B244" s="29"/>
      <c r="E244" s="20">
        <f t="shared" ref="E244:E257" si="5">IFERROR(E6,0)</f>
        <v>0</v>
      </c>
      <c r="F244" s="94">
        <f>+'EF_ASESSM_SO#_CODIG_MODULO_2'!E62</f>
        <v>0</v>
      </c>
      <c r="G244" s="94">
        <f>+'EF_ASESSM_SO#_CODIG_MODULO_2'!F62</f>
        <v>0</v>
      </c>
      <c r="H244" s="94">
        <f>+'EF_ASESSM_SO#_CODIG_MODULO_2'!G62</f>
        <v>0</v>
      </c>
      <c r="I244" s="94">
        <f>+'EF_ASESSM_SO#_CODIG_MODULO_2'!H62</f>
        <v>0</v>
      </c>
      <c r="J244" s="170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2"/>
      <c r="V244" s="30"/>
    </row>
    <row r="245" spans="2:22" ht="24" customHeight="1" x14ac:dyDescent="0.25">
      <c r="B245" s="29"/>
      <c r="E245" s="20">
        <f t="shared" si="5"/>
        <v>0</v>
      </c>
      <c r="F245" s="94">
        <f>+'EF_ASESSM_SO#_CODIG_MODULO_3'!E62</f>
        <v>0</v>
      </c>
      <c r="G245" s="94">
        <f>+'EF_ASESSM_SO#_CODIG_MODULO_3'!F62</f>
        <v>0</v>
      </c>
      <c r="H245" s="94">
        <f>+'EF_ASESSM_SO#_CODIG_MODULO_3'!G62</f>
        <v>0</v>
      </c>
      <c r="I245" s="94">
        <f>+'EF_ASESSM_SO#_CODIG_MODULO_3'!H62</f>
        <v>0</v>
      </c>
      <c r="J245" s="170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2"/>
      <c r="V245" s="30"/>
    </row>
    <row r="246" spans="2:22" ht="24" customHeight="1" x14ac:dyDescent="0.25">
      <c r="B246" s="29"/>
      <c r="E246" s="20">
        <f t="shared" si="5"/>
        <v>0</v>
      </c>
      <c r="F246" s="94">
        <f>+'EF_ASESSM_SO#_CODIG_MODULO_4'!E62</f>
        <v>0</v>
      </c>
      <c r="G246" s="94">
        <f>+'EF_ASESSM_SO#_CODIG_MODULO_4'!F62</f>
        <v>0</v>
      </c>
      <c r="H246" s="94">
        <f>+'EF_ASESSM_SO#_CODIG_MODULO_4'!G62</f>
        <v>0</v>
      </c>
      <c r="I246" s="94">
        <f>+'EF_ASESSM_SO#_CODIG_MODULO_4'!H62</f>
        <v>0</v>
      </c>
      <c r="J246" s="170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2"/>
      <c r="V246" s="30"/>
    </row>
    <row r="247" spans="2:22" ht="24" customHeight="1" x14ac:dyDescent="0.25">
      <c r="B247" s="29"/>
      <c r="E247" s="20">
        <f t="shared" si="5"/>
        <v>0</v>
      </c>
      <c r="F247" s="94">
        <f>+'EF_ASESSM_SO#_CODIG_MODULO_5'!E62</f>
        <v>0</v>
      </c>
      <c r="G247" s="94">
        <f>+'EF_ASESSM_SO#_CODIG_MODULO_5'!F62</f>
        <v>0</v>
      </c>
      <c r="H247" s="94">
        <f>+'EF_ASESSM_SO#_CODIG_MODULO_5'!G62</f>
        <v>0</v>
      </c>
      <c r="I247" s="94">
        <f>+'EF_ASESSM_SO#_CODIG_MODULO_5'!H62</f>
        <v>0</v>
      </c>
      <c r="J247" s="170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2"/>
      <c r="V247" s="30"/>
    </row>
    <row r="248" spans="2:22" ht="24" customHeight="1" x14ac:dyDescent="0.25">
      <c r="B248" s="29"/>
      <c r="E248" s="20">
        <f t="shared" si="5"/>
        <v>0</v>
      </c>
      <c r="F248" s="94">
        <f>+'EF_ASESSM_SO#_CODIG_MODULO_6'!E62</f>
        <v>0</v>
      </c>
      <c r="G248" s="94">
        <f>+'EF_ASESSM_SO#_CODIG_MODULO_6'!F62</f>
        <v>0</v>
      </c>
      <c r="H248" s="94">
        <f>+'EF_ASESSM_SO#_CODIG_MODULO_6'!G62</f>
        <v>0</v>
      </c>
      <c r="I248" s="94">
        <f>+'EF_ASESSM_SO#_CODIG_MODULO_6'!H62</f>
        <v>0</v>
      </c>
      <c r="J248" s="170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2"/>
      <c r="V248" s="30"/>
    </row>
    <row r="249" spans="2:22" ht="24" customHeight="1" x14ac:dyDescent="0.25">
      <c r="B249" s="29"/>
      <c r="E249" s="20">
        <f t="shared" si="5"/>
        <v>0</v>
      </c>
      <c r="F249" s="94">
        <f>+'EF_ASESSM_SO#_CODIG_MODULO_7'!E62</f>
        <v>0</v>
      </c>
      <c r="G249" s="94">
        <f>+'EF_ASESSM_SO#_CODIG_MODULO_7'!F62</f>
        <v>0</v>
      </c>
      <c r="H249" s="94">
        <f>+'EF_ASESSM_SO#_CODIG_MODULO_7'!G62</f>
        <v>0</v>
      </c>
      <c r="I249" s="94">
        <f>+'EF_ASESSM_SO#_CODIG_MODULO_7'!H62</f>
        <v>0</v>
      </c>
      <c r="J249" s="170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2"/>
      <c r="V249" s="30"/>
    </row>
    <row r="250" spans="2:22" ht="24" customHeight="1" x14ac:dyDescent="0.25">
      <c r="B250" s="29"/>
      <c r="D250">
        <v>8</v>
      </c>
      <c r="E250" s="20">
        <f t="shared" si="5"/>
        <v>0</v>
      </c>
      <c r="F250" s="94">
        <f>+'EF_ASESSM_SO#_CODIG_MODULO_8'!E62</f>
        <v>0</v>
      </c>
      <c r="G250" s="94">
        <f>+'EF_ASESSM_SO#_CODIG_MODULO_8'!F62</f>
        <v>0</v>
      </c>
      <c r="H250" s="94">
        <f>+'EF_ASESSM_SO#_CODIG_MODULO_8'!G62</f>
        <v>0</v>
      </c>
      <c r="I250" s="94">
        <f>+'EF_ASESSM_SO#_CODIG_MODULO_8'!H62</f>
        <v>0</v>
      </c>
      <c r="J250" s="170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2"/>
      <c r="V250" s="30"/>
    </row>
    <row r="251" spans="2:22" ht="24" customHeight="1" x14ac:dyDescent="0.25">
      <c r="B251" s="29"/>
      <c r="D251">
        <v>9</v>
      </c>
      <c r="E251" s="20">
        <f t="shared" si="5"/>
        <v>0</v>
      </c>
      <c r="F251" s="94">
        <f>+'EF_ASESSM_SO#_CODIG_MODULO_9'!E62</f>
        <v>0</v>
      </c>
      <c r="G251" s="94">
        <f>+'EF_ASESSM_SO#_CODIG_MODULO_9'!F62</f>
        <v>0</v>
      </c>
      <c r="H251" s="94">
        <f>+'EF_ASESSM_SO#_CODIG_MODULO_9'!G62</f>
        <v>0</v>
      </c>
      <c r="I251" s="94">
        <f>+'EF_ASESSM_SO#_CODIG_MODULO_9'!H62</f>
        <v>0</v>
      </c>
      <c r="J251" s="170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2"/>
      <c r="V251" s="30"/>
    </row>
    <row r="252" spans="2:22" ht="24" customHeight="1" x14ac:dyDescent="0.25">
      <c r="B252" s="29"/>
      <c r="D252">
        <v>10</v>
      </c>
      <c r="E252" s="20">
        <f t="shared" si="5"/>
        <v>0</v>
      </c>
      <c r="F252" s="94">
        <f>+'EF_ASESSM_SO#_CODIG_MODULO_10'!E62</f>
        <v>0</v>
      </c>
      <c r="G252" s="94">
        <f>+'EF_ASESSM_SO#_CODIG_MODULO_10'!F62</f>
        <v>0</v>
      </c>
      <c r="H252" s="94">
        <f>+'EF_ASESSM_SO#_CODIG_MODULO_10'!G62</f>
        <v>0</v>
      </c>
      <c r="I252" s="94">
        <f>+'EF_ASESSM_SO#_CODIG_MODULO_10'!H62</f>
        <v>0</v>
      </c>
      <c r="J252" s="170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2"/>
      <c r="V252" s="30"/>
    </row>
    <row r="253" spans="2:22" ht="24" customHeight="1" x14ac:dyDescent="0.25">
      <c r="B253" s="29"/>
      <c r="D253">
        <v>11</v>
      </c>
      <c r="E253" s="20">
        <f t="shared" si="5"/>
        <v>0</v>
      </c>
      <c r="F253" s="94">
        <f>+'EF_ASESSM_SO#_CODIG_MODULO_11'!E62</f>
        <v>0</v>
      </c>
      <c r="G253" s="94">
        <f>+'EF_ASESSM_SO#_CODIG_MODULO_11'!F62</f>
        <v>0</v>
      </c>
      <c r="H253" s="94">
        <f>+'EF_ASESSM_SO#_CODIG_MODULO_11'!G62</f>
        <v>0</v>
      </c>
      <c r="I253" s="94">
        <f>+'EF_ASESSM_SO#_CODIG_MODULO_11'!H62</f>
        <v>0</v>
      </c>
      <c r="J253" s="170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2"/>
      <c r="V253" s="30"/>
    </row>
    <row r="254" spans="2:22" ht="24" customHeight="1" x14ac:dyDescent="0.25">
      <c r="B254" s="29"/>
      <c r="D254">
        <v>12</v>
      </c>
      <c r="E254" s="20">
        <f t="shared" si="5"/>
        <v>0</v>
      </c>
      <c r="F254" s="94">
        <f>+'EF_ASESSM_SO#_CODIG_MODULO_12'!E62</f>
        <v>0</v>
      </c>
      <c r="G254" s="94">
        <f>+'EF_ASESSM_SO#_CODIG_MODULO_12'!F62</f>
        <v>0</v>
      </c>
      <c r="H254" s="94">
        <f>+'EF_ASESSM_SO#_CODIG_MODULO_12'!G62</f>
        <v>0</v>
      </c>
      <c r="I254" s="94">
        <f>+'EF_ASESSM_SO#_CODIG_MODULO_12'!H62</f>
        <v>0</v>
      </c>
      <c r="J254" s="170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2"/>
      <c r="V254" s="30"/>
    </row>
    <row r="255" spans="2:22" ht="24" customHeight="1" x14ac:dyDescent="0.25">
      <c r="B255" s="29"/>
      <c r="D255">
        <v>13</v>
      </c>
      <c r="E255" s="20">
        <f t="shared" si="5"/>
        <v>0</v>
      </c>
      <c r="F255" s="94">
        <f>+'EF_ASESSM_SO#_CODIG_MODULO_13'!E62</f>
        <v>0</v>
      </c>
      <c r="G255" s="94">
        <f>+'EF_ASESSM_SO#_CODIG_MODULO_13'!F62</f>
        <v>0</v>
      </c>
      <c r="H255" s="94">
        <f>+'EF_ASESSM_SO#_CODIG_MODULO_13'!G62</f>
        <v>0</v>
      </c>
      <c r="I255" s="94">
        <f>+'EF_ASESSM_SO#_CODIG_MODULO_13'!H62</f>
        <v>0</v>
      </c>
      <c r="J255" s="170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2"/>
      <c r="V255" s="30"/>
    </row>
    <row r="256" spans="2:22" ht="24" customHeight="1" x14ac:dyDescent="0.25">
      <c r="B256" s="29"/>
      <c r="D256">
        <v>14</v>
      </c>
      <c r="E256" s="20">
        <f t="shared" si="5"/>
        <v>0</v>
      </c>
      <c r="F256" s="94">
        <f>+'EF_ASESSM_SO#_CODIG_MODULO_14'!E62</f>
        <v>0</v>
      </c>
      <c r="G256" s="94">
        <f>+'EF_ASESSM_SO#_CODIG_MODULO_14'!F62</f>
        <v>0</v>
      </c>
      <c r="H256" s="94">
        <f>+'EF_ASESSM_SO#_CODIG_MODULO_14'!G62</f>
        <v>0</v>
      </c>
      <c r="I256" s="94">
        <f>+'EF_ASESSM_SO#_CODIG_MODULO_14'!H62</f>
        <v>0</v>
      </c>
      <c r="J256" s="170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2"/>
      <c r="V256" s="30"/>
    </row>
    <row r="257" spans="2:22" ht="24" customHeight="1" x14ac:dyDescent="0.25">
      <c r="B257" s="29"/>
      <c r="D257">
        <v>15</v>
      </c>
      <c r="E257" s="20">
        <f t="shared" si="5"/>
        <v>0</v>
      </c>
      <c r="F257" s="94">
        <f>+'EF_ASESSM_SO#_CODIG_MODULO_15'!E62</f>
        <v>0</v>
      </c>
      <c r="G257" s="94">
        <f>+'EF_ASESSM_SO#_CODIG_MODULO_15'!F62</f>
        <v>0</v>
      </c>
      <c r="H257" s="94">
        <f>+'EF_ASESSM_SO#_CODIG_MODULO_15'!G62</f>
        <v>0</v>
      </c>
      <c r="I257" s="94">
        <f>+'EF_ASESSM_SO#_CODIG_MODULO_15'!H62</f>
        <v>0</v>
      </c>
      <c r="J257" s="173"/>
      <c r="K257" s="174"/>
      <c r="L257" s="174"/>
      <c r="M257" s="174"/>
      <c r="N257" s="174"/>
      <c r="O257" s="174"/>
      <c r="P257" s="174"/>
      <c r="Q257" s="174"/>
      <c r="R257" s="174"/>
      <c r="S257" s="174"/>
      <c r="T257" s="174"/>
      <c r="U257" s="175"/>
      <c r="V257" s="30"/>
    </row>
    <row r="258" spans="2:22" ht="15" customHeight="1" x14ac:dyDescent="0.25">
      <c r="B258" s="29"/>
      <c r="E258" s="20" t="s">
        <v>168</v>
      </c>
      <c r="F258" s="41">
        <f>IFERROR((COUNTIF('EF_ASESSM_SO#_CODIG_MODULO_1'!J12:J51,FINAL_REPORT_ASESSMT_SO!F240)+COUNTIF('EF_ASESSM_SO#_CODIG_MODULO_2'!J12:J51,FINAL_REPORT_ASESSMT_SO!F240)+COUNTIF('EF_ASESSM_SO#_CODIG_MODULO_3'!J12:J51,FINAL_REPORT_ASESSMT_SO!F240) +COUNTIF('EF_ASESSM_SO#_CODIG_MODULO_4'!J12:J51,FINAL_REPORT_ASESSMT_SO!F240) +COUNTIF('EF_ASESSM_SO#_CODIG_MODULO_5'!J12:J51,FINAL_REPORT_ASESSMT_SO!F240) +COUNTIF('EF_ASESSM_SO#_CODIG_MODULO_6'!J12:J51,FINAL_REPORT_ASESSMT_SO!F240)+COUNTIF('EF_ASESSM_SO#_CODIG_MODULO_7'!J12:J51,FINAL_REPORT_ASESSMT_SO!F240)+COUNTIF('EF_ASESSM_SO#_CODIG_MODULO_8'!J12:J51,FINAL_REPORT_ASESSMT_SO!F240)+COUNTIF('EF_ASESSM_SO#_CODIG_MODULO_9'!J12:J51,FINAL_REPORT_ASESSMT_SO!F240)+COUNTIF('EF_ASESSM_SO#_CODIG_MODULO_10'!J12:J51,FINAL_REPORT_ASESSMT_SO!F240)+COUNTIF('EF_ASESSM_SO#_CODIG_MODULO_11'!J12:J51,FINAL_REPORT_ASESSMT_SO!F240)+COUNTIF('EF_ASESSM_SO#_CODIG_MODULO_12'!J12:J51,FINAL_REPORT_ASESSMT_SO!F240)+COUNTIF('EF_ASESSM_SO#_CODIG_MODULO_13'!J12:J51,FINAL_REPORT_ASESSMT_SO!F240)+COUNTIF('EF_ASESSM_SO#_CODIG_MODULO_14'!J12:J51,FINAL_REPORT_ASESSMT_SO!F240)+COUNTIF('EF_ASESSM_SO#_CODIG_MODULO_15'!J12:J51,FINAL_REPORT_ASESSMT_SO!F240))/FINAL_REPORT_ASESSMT_SO!G20,0)</f>
        <v>0</v>
      </c>
      <c r="G258" s="41">
        <f>IFERROR((COUNTIF('EF_ASESSM_SO#_CODIG_MODULO_1'!J12:J51,FINAL_REPORT_ASESSMT_SO!G240)+COUNTIF('EF_ASESSM_SO#_CODIG_MODULO_2'!J12:J51,FINAL_REPORT_ASESSMT_SO!G240)+COUNTIF('EF_ASESSM_SO#_CODIG_MODULO_3'!J12:J51,FINAL_REPORT_ASESSMT_SO!G240) +COUNTIF('EF_ASESSM_SO#_CODIG_MODULO_4'!J12:J51,FINAL_REPORT_ASESSMT_SO!G240) +COUNTIF('EF_ASESSM_SO#_CODIG_MODULO_5'!J12:J51,FINAL_REPORT_ASESSMT_SO!G240) +COUNTIF('EF_ASESSM_SO#_CODIG_MODULO_6'!J12:J51,FINAL_REPORT_ASESSMT_SO!G240)+COUNTIF('EF_ASESSM_SO#_CODIG_MODULO_7'!J12:J51,FINAL_REPORT_ASESSMT_SO!G240)+COUNTIF('EF_ASESSM_SO#_CODIG_MODULO_8'!J12:J51,FINAL_REPORT_ASESSMT_SO!G240)+COUNTIF('EF_ASESSM_SO#_CODIG_MODULO_9'!J12:J51,FINAL_REPORT_ASESSMT_SO!G240)+COUNTIF('EF_ASESSM_SO#_CODIG_MODULO_10'!J12:J51,FINAL_REPORT_ASESSMT_SO!G240)+COUNTIF('EF_ASESSM_SO#_CODIG_MODULO_11'!J12:J51,FINAL_REPORT_ASESSMT_SO!G240)+COUNTIF('EF_ASESSM_SO#_CODIG_MODULO_12'!J12:J51,FINAL_REPORT_ASESSMT_SO!G240)+COUNTIF('EF_ASESSM_SO#_CODIG_MODULO_13'!J12:J51,FINAL_REPORT_ASESSMT_SO!G240)+COUNTIF('EF_ASESSM_SO#_CODIG_MODULO_14'!J12:J51,FINAL_REPORT_ASESSMT_SO!G240)+COUNTIF('EF_ASESSM_SO#_CODIG_MODULO_15'!J12:J51,FINAL_REPORT_ASESSMT_SO!G240))/FINAL_REPORT_ASESSMT_SO!G20,0)</f>
        <v>0</v>
      </c>
      <c r="H258" s="41">
        <f>IFERROR((COUNTIF('EF_ASESSM_SO#_CODIG_MODULO_1'!J12:J51,FINAL_REPORT_ASESSMT_SO!H240)+COUNTIF('EF_ASESSM_SO#_CODIG_MODULO_2'!J12:J51,FINAL_REPORT_ASESSMT_SO!H240)+COUNTIF('EF_ASESSM_SO#_CODIG_MODULO_3'!J12:J51,FINAL_REPORT_ASESSMT_SO!H240) +COUNTIF('EF_ASESSM_SO#_CODIG_MODULO_4'!J12:J51,FINAL_REPORT_ASESSMT_SO!H240) +COUNTIF('EF_ASESSM_SO#_CODIG_MODULO_5'!J12:J51,FINAL_REPORT_ASESSMT_SO!H240) +COUNTIF('EF_ASESSM_SO#_CODIG_MODULO_6'!J12:J51,FINAL_REPORT_ASESSMT_SO!H240)+COUNTIF('EF_ASESSM_SO#_CODIG_MODULO_7'!J12:J51,FINAL_REPORT_ASESSMT_SO!H240)+COUNTIF('EF_ASESSM_SO#_CODIG_MODULO_8'!J12:J51,FINAL_REPORT_ASESSMT_SO!H240)+COUNTIF('EF_ASESSM_SO#_CODIG_MODULO_9'!J12:J51,FINAL_REPORT_ASESSMT_SO!H240)+COUNTIF('EF_ASESSM_SO#_CODIG_MODULO_10'!J12:J51,FINAL_REPORT_ASESSMT_SO!H240)+COUNTIF('EF_ASESSM_SO#_CODIG_MODULO_11'!J12:J51,FINAL_REPORT_ASESSMT_SO!H240)+COUNTIF('EF_ASESSM_SO#_CODIG_MODULO_12'!J12:J51,FINAL_REPORT_ASESSMT_SO!H240)+COUNTIF('EF_ASESSM_SO#_CODIG_MODULO_13'!J12:J51,FINAL_REPORT_ASESSMT_SO!H240)+COUNTIF('EF_ASESSM_SO#_CODIG_MODULO_14'!J12:J51,FINAL_REPORT_ASESSMT_SO!H240)+COUNTIF('EF_ASESSM_SO#_CODIG_MODULO_15'!J12:J51,FINAL_REPORT_ASESSMT_SO!H240))/FINAL_REPORT_ASESSMT_SO!G20,0)</f>
        <v>0</v>
      </c>
      <c r="I258" s="41">
        <f>IFERROR((COUNTIF('EF_ASESSM_SO#_CODIG_MODULO_1'!J12:J51,FINAL_REPORT_ASESSMT_SO!I240)+COUNTIF('EF_ASESSM_SO#_CODIG_MODULO_2'!J12:J51,FINAL_REPORT_ASESSMT_SO!I240)+COUNTIF('EF_ASESSM_SO#_CODIG_MODULO_3'!J12:J51,FINAL_REPORT_ASESSMT_SO!I240) +COUNTIF('EF_ASESSM_SO#_CODIG_MODULO_4'!J12:J51,FINAL_REPORT_ASESSMT_SO!I240) +COUNTIF('EF_ASESSM_SO#_CODIG_MODULO_5'!J12:J51,FINAL_REPORT_ASESSMT_SO!I240) +COUNTIF('EF_ASESSM_SO#_CODIG_MODULO_6'!J12:J51,FINAL_REPORT_ASESSMT_SO!I240)+COUNTIF('EF_ASESSM_SO#_CODIG_MODULO_7'!J12:J51,FINAL_REPORT_ASESSMT_SO!I240)+COUNTIF('EF_ASESSM_SO#_CODIG_MODULO_8'!J12:J51,FINAL_REPORT_ASESSMT_SO!I240)+COUNTIF('EF_ASESSM_SO#_CODIG_MODULO_9'!J12:J51,FINAL_REPORT_ASESSMT_SO!I240)+COUNTIF('EF_ASESSM_SO#_CODIG_MODULO_10'!J12:J51,FINAL_REPORT_ASESSMT_SO!I240)+COUNTIF('EF_ASESSM_SO#_CODIG_MODULO_11'!J12:J51,FINAL_REPORT_ASESSMT_SO!I240)+COUNTIF('EF_ASESSM_SO#_CODIG_MODULO_12'!J12:J51,FINAL_REPORT_ASESSMT_SO!I240)+COUNTIF('EF_ASESSM_SO#_CODIG_MODULO_13'!J12:J51,FINAL_REPORT_ASESSMT_SO!I240)+COUNTIF('EF_ASESSM_SO#_CODIG_MODULO_14'!J12:J51,FINAL_REPORT_ASESSMT_SO!I240)+COUNTIF('EF_ASESSM_SO#_CODIG_MODULO_15'!J12:J51,FINAL_REPORT_ASESSMT_SO!I240))/FINAL_REPORT_ASESSMT_SO!G20,0)</f>
        <v>0</v>
      </c>
      <c r="J258" s="47">
        <f>+MAX(F258:I258)</f>
        <v>0</v>
      </c>
      <c r="V258" s="30"/>
    </row>
    <row r="259" spans="2:22" ht="9" customHeight="1" x14ac:dyDescent="0.25">
      <c r="B259" s="29"/>
      <c r="V259" s="30"/>
    </row>
    <row r="260" spans="2:22" ht="7.5" customHeight="1" x14ac:dyDescent="0.25">
      <c r="B260" s="29"/>
      <c r="V260" s="30"/>
    </row>
    <row r="261" spans="2:22" ht="15" customHeight="1" x14ac:dyDescent="0.25">
      <c r="B261" s="29"/>
      <c r="V261" s="30"/>
    </row>
    <row r="262" spans="2:22" ht="15" customHeight="1" x14ac:dyDescent="0.25">
      <c r="B262" s="29"/>
      <c r="V262" s="30"/>
    </row>
    <row r="263" spans="2:22" ht="15" customHeight="1" x14ac:dyDescent="0.25">
      <c r="B263" s="29"/>
      <c r="V263" s="30"/>
    </row>
    <row r="264" spans="2:22" ht="15" customHeight="1" x14ac:dyDescent="0.25">
      <c r="B264" s="29"/>
      <c r="V264" s="30"/>
    </row>
    <row r="265" spans="2:22" ht="15" customHeight="1" x14ac:dyDescent="0.25">
      <c r="B265" s="29"/>
      <c r="V265" s="30"/>
    </row>
    <row r="266" spans="2:22" ht="15" customHeight="1" x14ac:dyDescent="0.25">
      <c r="B266" s="29"/>
      <c r="V266" s="30"/>
    </row>
    <row r="267" spans="2:22" ht="15" customHeight="1" x14ac:dyDescent="0.25">
      <c r="B267" s="29"/>
      <c r="V267" s="30"/>
    </row>
    <row r="268" spans="2:22" ht="15" customHeight="1" x14ac:dyDescent="0.25">
      <c r="B268" s="29"/>
      <c r="V268" s="30"/>
    </row>
    <row r="269" spans="2:22" ht="15" customHeight="1" x14ac:dyDescent="0.25">
      <c r="B269" s="29"/>
      <c r="V269" s="30"/>
    </row>
    <row r="270" spans="2:22" ht="15" customHeight="1" x14ac:dyDescent="0.25">
      <c r="B270" s="29"/>
      <c r="V270" s="30"/>
    </row>
    <row r="271" spans="2:22" ht="15" customHeight="1" x14ac:dyDescent="0.25">
      <c r="B271" s="29"/>
      <c r="V271" s="30"/>
    </row>
    <row r="272" spans="2:22" ht="15" customHeight="1" x14ac:dyDescent="0.25">
      <c r="B272" s="29"/>
      <c r="V272" s="30"/>
    </row>
    <row r="273" spans="2:22" ht="15" customHeight="1" x14ac:dyDescent="0.25">
      <c r="B273" s="29"/>
      <c r="V273" s="30"/>
    </row>
    <row r="274" spans="2:22" ht="15" customHeight="1" x14ac:dyDescent="0.25">
      <c r="B274" s="29"/>
      <c r="V274" s="30"/>
    </row>
    <row r="275" spans="2:22" ht="15" customHeight="1" x14ac:dyDescent="0.25">
      <c r="B275" s="29"/>
      <c r="C275" s="145" t="s">
        <v>169</v>
      </c>
      <c r="D275" s="146"/>
      <c r="E275" s="147" t="s">
        <v>154</v>
      </c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9"/>
      <c r="V275" s="30"/>
    </row>
    <row r="276" spans="2:22" ht="99" customHeight="1" x14ac:dyDescent="0.25">
      <c r="B276" s="29"/>
      <c r="C276" s="134"/>
      <c r="D276" s="135"/>
      <c r="E276" s="150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2"/>
      <c r="V276" s="30"/>
    </row>
    <row r="277" spans="2:22" ht="15" customHeight="1" thickBot="1" x14ac:dyDescent="0.3">
      <c r="B277" s="32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4"/>
    </row>
    <row r="278" spans="2:22" ht="15" customHeight="1" x14ac:dyDescent="0.25">
      <c r="B278" s="29"/>
      <c r="V278" s="30"/>
    </row>
    <row r="279" spans="2:22" ht="15" customHeight="1" x14ac:dyDescent="0.25">
      <c r="B279" s="29"/>
      <c r="C279" s="164" t="s">
        <v>170</v>
      </c>
      <c r="D279" s="164"/>
      <c r="E279" s="164"/>
      <c r="F279" s="164"/>
      <c r="G279" s="164"/>
      <c r="H279" s="164"/>
      <c r="I279" s="164"/>
      <c r="J279" s="164"/>
      <c r="K279" s="164"/>
      <c r="L279" s="164"/>
      <c r="M279" s="164"/>
      <c r="N279" s="164"/>
      <c r="O279" s="164"/>
      <c r="P279" s="164"/>
      <c r="Q279" s="164"/>
      <c r="R279" s="164"/>
      <c r="S279" s="164"/>
      <c r="T279" s="164"/>
      <c r="U279" s="164"/>
      <c r="V279" s="30"/>
    </row>
    <row r="280" spans="2:22" ht="15" customHeight="1" x14ac:dyDescent="0.25">
      <c r="B280" s="29"/>
      <c r="V280" s="30"/>
    </row>
    <row r="281" spans="2:22" ht="42" customHeight="1" x14ac:dyDescent="0.25">
      <c r="B281" s="29"/>
      <c r="E281" s="48">
        <f>+MAX(F282:H282)</f>
        <v>0</v>
      </c>
      <c r="F281" s="20">
        <f>IFERROR(E5,0)</f>
        <v>0</v>
      </c>
      <c r="G281" s="20">
        <f>IFERROR(E6,0)</f>
        <v>0</v>
      </c>
      <c r="H281" s="20">
        <f>IFERROR(E7,0)</f>
        <v>0</v>
      </c>
      <c r="I281" s="20">
        <f>IFERROR(E8,0)</f>
        <v>0</v>
      </c>
      <c r="J281" s="20">
        <f>IFERROR(E9,0)</f>
        <v>0</v>
      </c>
      <c r="K281" s="20">
        <f>IFERROR(E10,0)</f>
        <v>0</v>
      </c>
      <c r="L281" s="20">
        <f>IFERROR(E11,0)</f>
        <v>0</v>
      </c>
      <c r="M281" s="20">
        <f>IFERROR(E12,0)</f>
        <v>0</v>
      </c>
      <c r="N281" s="20">
        <f>IFERROR(E13,0)</f>
        <v>0</v>
      </c>
      <c r="O281" s="20">
        <f>IFERROR(E14,0)</f>
        <v>0</v>
      </c>
      <c r="P281" s="20">
        <f>IFERROR(E15,0)</f>
        <v>0</v>
      </c>
      <c r="Q281" s="20">
        <f>IFERROR(E16,0)</f>
        <v>0</v>
      </c>
      <c r="R281" s="20">
        <f>IFERROR(E17,0)</f>
        <v>0</v>
      </c>
      <c r="S281" s="20">
        <f>IFERROR(E18,0)</f>
        <v>0</v>
      </c>
      <c r="T281" s="20">
        <f>IFERROR(E19,0)</f>
        <v>0</v>
      </c>
      <c r="V281" s="30"/>
    </row>
    <row r="282" spans="2:22" ht="15" customHeight="1" x14ac:dyDescent="0.25">
      <c r="B282" s="29"/>
      <c r="E282" s="36" t="s">
        <v>171</v>
      </c>
      <c r="F282" s="19" t="str">
        <f>+IF(F281=0," ",(($H$33+$I$33)+($H$75+$I$75)+($H$117+$I$117)+($H$159+I159)+($H$201+$I$201)+($H$243+$I$243))/(COUNTIF(J48,"&gt;0")+COUNTIF(J90,"&gt;0")+COUNTIF(J132,"&gt;0")+COUNTIF(J174,"&gt;0")+COUNTIF(J216,"&gt;0")+COUNTIF(J258,"&gt;0")))</f>
        <v xml:space="preserve"> </v>
      </c>
      <c r="G282" s="19" t="str">
        <f>IF(G281=0," ",(($H$34+$I$34)+($H$76+$I$76)+($H$118+$I$118)+($H$160+$I$160)+($H$202+$I$202)+($H$244+$I$244))/(COUNTIF(J48,"&gt;0")+COUNTIF(J90,"&gt;0")+COUNTIF(J132,"&gt;0")+COUNTIF(J174,"&gt;0")+COUNTIF(J216,"&gt;0")+COUNTIF(J258,"&gt;0")))</f>
        <v xml:space="preserve"> </v>
      </c>
      <c r="H282" s="19" t="str">
        <f>IF(H281=0," ",(($H$35+$I$35)+($H$77+$I$77)+($H$119+$I$119)+($H$161+$I$161)+($H$203+$I$203)+($H$245+$I$245))/(COUNTIF(J48,"&gt;0")+COUNTIF(J90,"&gt;0")+COUNTIF(J132,"&gt;0")+COUNTIF(J174,"&gt;0")+COUNTIF(J216,"&gt;0")+COUNTIF(J258,"&gt;0")))</f>
        <v xml:space="preserve"> </v>
      </c>
      <c r="I282" s="19" t="str">
        <f>+IF(I281=0," ",((H36+I36)+(H78+I78)+(H120+I120)+(H162+I162)+(H204+I204)+(H246+I246))/(COUNTIF(J48,"&gt;0")+COUNTIF(J90,"&gt;0")+COUNTIF(J132,"&gt;0")+COUNTIF(J174,"&gt;0")+COUNTIF(J216,"&gt;0")+COUNTIF(J258,"&gt;0")))</f>
        <v xml:space="preserve"> </v>
      </c>
      <c r="J282" s="19" t="str">
        <f>+IF(J281=0," ",((H37+I37)+(H79+I79)+(H121+I121)+(H163+I163)+(H205+I205)+(H247+I247))/(COUNTIF(J48,"&gt;0")+COUNTIF(J90,"&gt;0")+COUNTIF(J132,"&gt;0")+COUNTIF(J174,"&gt;0")+COUNTIF(J216,"&gt;0")+COUNTIF(J258,"&gt;0")))</f>
        <v xml:space="preserve"> </v>
      </c>
      <c r="K282" s="19" t="str">
        <f>IF(K281=0," ",((H38+I38)+(H80+I80)+(H122+I122)+(H164+I164)+(H206+I206)+(H248+I248))/(COUNTIF(J48,"&gt;0")+COUNTIF(J90,"&gt;0")+COUNTIF(J132,"&gt;0")+COUNTIF(J174,"&gt;0")+COUNTIF(J216,"&gt;0")+COUNTIF(J258,"&gt;0")))</f>
        <v xml:space="preserve"> </v>
      </c>
      <c r="L282" s="19" t="str">
        <f>IF(L281=0," ",((H39+I39)+(H81+I81)+(H123+I123)+(H165+I165)+(H207+I207)+(H249+I249))/(COUNTIF(J48,"&gt;0")+COUNTIF(J90,"&gt;0")+COUNTIF(J132,"&gt;0")+COUNTIF(J174,"&gt;0")+COUNTIF(J216,"&gt;0")+COUNTIF(J258,"&gt;0")))</f>
        <v xml:space="preserve"> </v>
      </c>
      <c r="M282" s="19" t="str">
        <f>IF(M281=0," ",((H40+I40)+(H82+I82)+(H124+I124)+(H166+I166)+(H208+I208)+(H250+I250))/(COUNTIF(J48,"&gt;0")+COUNTIF(J90,"&gt;0")+COUNTIF(J132,"&gt;0")+COUNTIF(J174,"&gt;0")+COUNTIF(J216,"&gt;0")+COUNTIF(J258,"&gt;0")))</f>
        <v xml:space="preserve"> </v>
      </c>
      <c r="N282" s="19" t="str">
        <f>IF(N281=0," ",((H41+I41)+(H83+I83)+(H125+I125)+(H167+I167)+(H209+I209)+(H251+I251))/(COUNTIF(J48,"&gt;0")+COUNTIF(J90,"&gt;0")+COUNTIF(J132,"&gt;0")+COUNTIF(J174,"&gt;0")+COUNTIF(J216,"&gt;0")+COUNTIF(J258,"&gt;0")))</f>
        <v xml:space="preserve"> </v>
      </c>
      <c r="O282" s="19" t="str">
        <f>IF(O281=0," ",((H42+I42)+(H84+I84)+(H126+I126)+(H168+I168)+(H210+I210)+(H252+I252))/(COUNTIF(J48,"&gt;0")+COUNTIF(J90,"&gt;0")+COUNTIF(J132,"&gt;0")+COUNTIF(J174,"&gt;0")+COUNTIF(J216,"&gt;0")+COUNTIF(J258,"&gt;0")))</f>
        <v xml:space="preserve"> </v>
      </c>
      <c r="P282" s="19" t="str">
        <f>IF(P281=0," ",((H43+I43)+(H85+I85)+(H127+I127)+(H169+I169)+(H211+I211)+(H253+I253))/(COUNTIF(J48,"&gt;0")+COUNTIF(J90,"&gt;0")+COUNTIF(J132,"&gt;0")+COUNTIF(J174,"&gt;0")+COUNTIF(J216,"&gt;0")+COUNTIF(J258,"&gt;0")))</f>
        <v xml:space="preserve"> </v>
      </c>
      <c r="Q282" s="19" t="str">
        <f>IF(Q281=0," ",((H44+I44)+(H86+I86)+(H128+I128)+(H170+I170)+(H212+I212)+(H254+I254))/(COUNTIF(J48,"&gt;0")+COUNTIF(J90,"&gt;0")+COUNTIF(J132,"&gt;0")+COUNTIF(J174,"&gt;0")+COUNTIF(J216,"&gt;0")+COUNTIF(J258,"&gt;0")))</f>
        <v xml:space="preserve"> </v>
      </c>
      <c r="R282" s="19" t="str">
        <f>IF(R281=0," ",((H45+I45)+(H87+I87)+(H129+I129)+(H171+I171)+(H213+I213)+(H255+I255))/(COUNTIF(J48,"&gt;0")+COUNTIF(J90,"&gt;0")+COUNTIF(J132,"&gt;0")+COUNTIF(J174,"&gt;0")+COUNTIF(J216,"&gt;0")+COUNTIF(J258,"&gt;0")))</f>
        <v xml:space="preserve"> </v>
      </c>
      <c r="S282" s="19" t="str">
        <f>IF(S281=0," ",((H46+I46)+(H88+I88)+(H130+I130)+(H172+I172)+(H214+I214)+(H256+I256))/(COUNTIF(J48,"&gt;0")+COUNTIF(J90,"&gt;0")+COUNTIF(J132,"&gt;0")+COUNTIF(J174,"&gt;0")+COUNTIF(J216,"&gt;0")+COUNTIF(J258,"&gt;0")))</f>
        <v xml:space="preserve"> </v>
      </c>
      <c r="T282" s="19" t="str">
        <f>IF(T281=0," ",((H47+I47)+(H89+I89)+(H131+I131)+(H173+I173)+(H215+I215)+(H257+I257))/(COUNTIF(J48,"&gt;0")+COUNTIF(J90,"&gt;0")+COUNTIF(J132,"&gt;0")+COUNTIF(J174,"&gt;0")+COUNTIF(J216,"&gt;0")+COUNTIF(J258,"&gt;0")))</f>
        <v xml:space="preserve"> </v>
      </c>
      <c r="V282" s="30"/>
    </row>
    <row r="283" spans="2:22" ht="15" customHeight="1" x14ac:dyDescent="0.25">
      <c r="B283" s="29"/>
      <c r="J283" s="47">
        <v>0.3</v>
      </c>
      <c r="V283" s="30"/>
    </row>
    <row r="284" spans="2:22" ht="15" customHeight="1" x14ac:dyDescent="0.25">
      <c r="B284" s="29"/>
      <c r="J284" s="20" t="s">
        <v>172</v>
      </c>
      <c r="K284" s="20" t="s">
        <v>173</v>
      </c>
      <c r="V284" s="30"/>
    </row>
    <row r="285" spans="2:22" ht="15" customHeight="1" x14ac:dyDescent="0.25">
      <c r="B285" s="29"/>
      <c r="J285" s="19" t="e">
        <f>AVERAGE(F282:T282)</f>
        <v>#DIV/0!</v>
      </c>
      <c r="K285" s="50">
        <v>0.7</v>
      </c>
      <c r="V285" s="30"/>
    </row>
    <row r="286" spans="2:22" ht="15" customHeight="1" x14ac:dyDescent="0.25">
      <c r="B286" s="29"/>
      <c r="V286" s="30"/>
    </row>
    <row r="287" spans="2:22" ht="15" customHeight="1" x14ac:dyDescent="0.25">
      <c r="B287" s="29"/>
      <c r="V287" s="30"/>
    </row>
    <row r="288" spans="2:22" ht="15" customHeight="1" x14ac:dyDescent="0.25">
      <c r="B288" s="29"/>
      <c r="V288" s="30"/>
    </row>
    <row r="289" spans="2:22" ht="15" customHeight="1" x14ac:dyDescent="0.25">
      <c r="B289" s="29"/>
      <c r="V289" s="30"/>
    </row>
    <row r="290" spans="2:22" ht="15" customHeight="1" x14ac:dyDescent="0.25">
      <c r="B290" s="29"/>
      <c r="V290" s="30"/>
    </row>
    <row r="291" spans="2:22" ht="15" customHeight="1" x14ac:dyDescent="0.25">
      <c r="B291" s="29"/>
      <c r="V291" s="30"/>
    </row>
    <row r="292" spans="2:22" ht="15" customHeight="1" x14ac:dyDescent="0.25">
      <c r="B292" s="29"/>
      <c r="V292" s="30"/>
    </row>
    <row r="293" spans="2:22" ht="15" customHeight="1" x14ac:dyDescent="0.25">
      <c r="B293" s="29"/>
      <c r="V293" s="30"/>
    </row>
    <row r="294" spans="2:22" ht="15" customHeight="1" x14ac:dyDescent="0.25">
      <c r="B294" s="29"/>
      <c r="V294" s="30"/>
    </row>
    <row r="295" spans="2:22" ht="15" customHeight="1" x14ac:dyDescent="0.25">
      <c r="B295" s="29"/>
      <c r="V295" s="30"/>
    </row>
    <row r="296" spans="2:22" ht="15" customHeight="1" x14ac:dyDescent="0.25">
      <c r="B296" s="29"/>
      <c r="V296" s="30"/>
    </row>
    <row r="297" spans="2:22" ht="15" customHeight="1" x14ac:dyDescent="0.25">
      <c r="B297" s="29"/>
      <c r="V297" s="30"/>
    </row>
    <row r="298" spans="2:22" ht="15" customHeight="1" x14ac:dyDescent="0.25">
      <c r="B298" s="29"/>
      <c r="C298" s="164" t="s">
        <v>174</v>
      </c>
      <c r="D298" s="164"/>
      <c r="E298" s="164"/>
      <c r="F298" s="164"/>
      <c r="G298" s="164"/>
      <c r="H298" s="164"/>
      <c r="I298" s="164"/>
      <c r="J298" s="164"/>
      <c r="K298" s="164"/>
      <c r="L298" s="164"/>
      <c r="M298" s="164"/>
      <c r="N298" s="164"/>
      <c r="O298" s="164"/>
      <c r="P298" s="164"/>
      <c r="Q298" s="164"/>
      <c r="R298" s="164"/>
      <c r="S298" s="164"/>
      <c r="T298" s="164"/>
      <c r="U298" s="164"/>
      <c r="V298" s="30"/>
    </row>
    <row r="299" spans="2:22" ht="15" customHeight="1" x14ac:dyDescent="0.25">
      <c r="B299" s="29"/>
      <c r="C299" s="165" t="s">
        <v>175</v>
      </c>
      <c r="D299" s="165"/>
      <c r="E299" s="165"/>
      <c r="F299" s="165"/>
      <c r="G299" s="165"/>
      <c r="H299" s="165"/>
      <c r="I299" s="165"/>
      <c r="J299" s="165"/>
      <c r="K299" s="165"/>
      <c r="L299" s="165"/>
      <c r="M299" s="165"/>
      <c r="N299" s="165"/>
      <c r="O299" s="165"/>
      <c r="P299" s="165"/>
      <c r="Q299" s="165"/>
      <c r="R299" s="165"/>
      <c r="S299" s="165"/>
      <c r="T299" s="165"/>
      <c r="U299" s="165"/>
      <c r="V299" s="30"/>
    </row>
    <row r="300" spans="2:22" ht="15" customHeight="1" x14ac:dyDescent="0.25">
      <c r="B300" s="29"/>
      <c r="C300" s="165" t="s">
        <v>176</v>
      </c>
      <c r="D300" s="165"/>
      <c r="E300" s="165"/>
      <c r="F300" s="165"/>
      <c r="G300" s="165"/>
      <c r="H300" s="165"/>
      <c r="I300" s="165"/>
      <c r="J300" s="165"/>
      <c r="K300" s="165"/>
      <c r="L300" s="165"/>
      <c r="M300" s="165"/>
      <c r="N300" s="165"/>
      <c r="O300" s="165"/>
      <c r="P300" s="165"/>
      <c r="Q300" s="165"/>
      <c r="R300" s="165"/>
      <c r="S300" s="165"/>
      <c r="T300" s="165"/>
      <c r="U300" s="165"/>
      <c r="V300" s="30"/>
    </row>
    <row r="301" spans="2:22" ht="15" customHeight="1" x14ac:dyDescent="0.25">
      <c r="B301" s="29"/>
      <c r="C301" s="165" t="s">
        <v>177</v>
      </c>
      <c r="D301" s="165"/>
      <c r="E301" s="165"/>
      <c r="F301" s="165"/>
      <c r="G301" s="165"/>
      <c r="H301" s="165"/>
      <c r="I301" s="165"/>
      <c r="J301" s="165"/>
      <c r="K301" s="165"/>
      <c r="L301" s="165"/>
      <c r="M301" s="165"/>
      <c r="N301" s="165"/>
      <c r="O301" s="165"/>
      <c r="P301" s="165"/>
      <c r="Q301" s="165"/>
      <c r="R301" s="165"/>
      <c r="S301" s="165"/>
      <c r="T301" s="165"/>
      <c r="U301" s="165"/>
      <c r="V301" s="30"/>
    </row>
    <row r="302" spans="2:22" ht="15" customHeight="1" x14ac:dyDescent="0.25">
      <c r="B302" s="29"/>
      <c r="C302" s="166"/>
      <c r="D302" s="166"/>
      <c r="E302" s="166"/>
      <c r="F302" s="166"/>
      <c r="G302" s="166"/>
      <c r="H302" s="166"/>
      <c r="I302" s="166"/>
      <c r="J302" s="166"/>
      <c r="K302" s="166"/>
      <c r="L302" s="166"/>
      <c r="M302" s="166"/>
      <c r="N302" s="166"/>
      <c r="O302" s="166"/>
      <c r="P302" s="166"/>
      <c r="Q302" s="166"/>
      <c r="R302" s="166"/>
      <c r="S302" s="166"/>
      <c r="T302" s="166"/>
      <c r="U302" s="166"/>
      <c r="V302" s="30"/>
    </row>
    <row r="303" spans="2:22" ht="15" customHeight="1" x14ac:dyDescent="0.25">
      <c r="B303" s="29"/>
      <c r="C303" s="164" t="s">
        <v>178</v>
      </c>
      <c r="D303" s="164"/>
      <c r="E303" s="164"/>
      <c r="F303" s="164"/>
      <c r="G303" s="164"/>
      <c r="H303" s="164"/>
      <c r="I303" s="164"/>
      <c r="J303" s="164"/>
      <c r="K303" s="164"/>
      <c r="L303" s="164"/>
      <c r="M303" s="164"/>
      <c r="N303" s="164"/>
      <c r="O303" s="164"/>
      <c r="P303" s="164"/>
      <c r="Q303" s="164"/>
      <c r="R303" s="164"/>
      <c r="S303" s="164"/>
      <c r="T303" s="164"/>
      <c r="U303" s="164"/>
      <c r="V303" s="30"/>
    </row>
    <row r="304" spans="2:22" ht="15" customHeight="1" x14ac:dyDescent="0.25">
      <c r="B304" s="29"/>
      <c r="C304" s="165" t="s">
        <v>179</v>
      </c>
      <c r="D304" s="165"/>
      <c r="E304" s="165"/>
      <c r="F304" s="165"/>
      <c r="G304" s="165"/>
      <c r="H304" s="165"/>
      <c r="I304" s="165"/>
      <c r="J304" s="165"/>
      <c r="K304" s="165"/>
      <c r="L304" s="165"/>
      <c r="M304" s="165"/>
      <c r="N304" s="165"/>
      <c r="O304" s="165"/>
      <c r="P304" s="165"/>
      <c r="Q304" s="165"/>
      <c r="R304" s="165"/>
      <c r="S304" s="165"/>
      <c r="T304" s="165"/>
      <c r="U304" s="165"/>
      <c r="V304" s="30"/>
    </row>
    <row r="305" spans="2:22" ht="15" customHeight="1" x14ac:dyDescent="0.25">
      <c r="B305" s="29"/>
      <c r="C305" s="165" t="s">
        <v>180</v>
      </c>
      <c r="D305" s="165"/>
      <c r="E305" s="165"/>
      <c r="F305" s="165"/>
      <c r="G305" s="165"/>
      <c r="H305" s="165"/>
      <c r="I305" s="165"/>
      <c r="J305" s="165"/>
      <c r="K305" s="165"/>
      <c r="L305" s="165"/>
      <c r="M305" s="165"/>
      <c r="N305" s="165"/>
      <c r="O305" s="165"/>
      <c r="P305" s="165"/>
      <c r="Q305" s="165"/>
      <c r="R305" s="165"/>
      <c r="S305" s="165"/>
      <c r="T305" s="165"/>
      <c r="U305" s="165"/>
      <c r="V305" s="30"/>
    </row>
    <row r="306" spans="2:22" ht="15" customHeight="1" x14ac:dyDescent="0.25">
      <c r="B306" s="29"/>
      <c r="C306" s="165" t="s">
        <v>181</v>
      </c>
      <c r="D306" s="165"/>
      <c r="E306" s="165"/>
      <c r="F306" s="165"/>
      <c r="G306" s="165"/>
      <c r="H306" s="165"/>
      <c r="I306" s="165"/>
      <c r="J306" s="165"/>
      <c r="K306" s="165"/>
      <c r="L306" s="165"/>
      <c r="M306" s="165"/>
      <c r="N306" s="165"/>
      <c r="O306" s="165"/>
      <c r="P306" s="165"/>
      <c r="Q306" s="165"/>
      <c r="R306" s="165"/>
      <c r="S306" s="165"/>
      <c r="T306" s="165"/>
      <c r="U306" s="165"/>
      <c r="V306" s="30"/>
    </row>
    <row r="307" spans="2:22" ht="15" customHeight="1" x14ac:dyDescent="0.25">
      <c r="B307" s="29"/>
      <c r="V307" s="30"/>
    </row>
    <row r="308" spans="2:22" ht="15" customHeight="1" x14ac:dyDescent="0.25">
      <c r="B308" s="29"/>
      <c r="C308" s="164" t="s">
        <v>182</v>
      </c>
      <c r="D308" s="164"/>
      <c r="E308" s="164"/>
      <c r="F308" s="164"/>
      <c r="G308" s="164"/>
      <c r="H308" s="164"/>
      <c r="I308" s="164"/>
      <c r="J308" s="164"/>
      <c r="K308" s="164"/>
      <c r="L308" s="164"/>
      <c r="M308" s="164"/>
      <c r="N308" s="164"/>
      <c r="O308" s="164"/>
      <c r="P308" s="164"/>
      <c r="Q308" s="164"/>
      <c r="R308" s="164"/>
      <c r="S308" s="164"/>
      <c r="T308" s="164"/>
      <c r="U308" s="164"/>
      <c r="V308" s="30"/>
    </row>
    <row r="309" spans="2:22" ht="15" customHeight="1" x14ac:dyDescent="0.25">
      <c r="B309" s="29"/>
      <c r="C309" s="165" t="s">
        <v>183</v>
      </c>
      <c r="D309" s="165"/>
      <c r="E309" s="165"/>
      <c r="F309" s="165"/>
      <c r="G309" s="165"/>
      <c r="H309" s="165"/>
      <c r="I309" s="165"/>
      <c r="J309" s="165"/>
      <c r="K309" s="165"/>
      <c r="L309" s="165"/>
      <c r="M309" s="165"/>
      <c r="N309" s="165"/>
      <c r="O309" s="165"/>
      <c r="P309" s="165"/>
      <c r="Q309" s="165"/>
      <c r="R309" s="165"/>
      <c r="S309" s="165"/>
      <c r="T309" s="165"/>
      <c r="U309" s="165"/>
      <c r="V309" s="30"/>
    </row>
    <row r="310" spans="2:22" ht="15" customHeight="1" x14ac:dyDescent="0.25">
      <c r="B310" s="29"/>
      <c r="C310" s="165" t="s">
        <v>184</v>
      </c>
      <c r="D310" s="165"/>
      <c r="E310" s="165"/>
      <c r="F310" s="165"/>
      <c r="G310" s="165"/>
      <c r="H310" s="165"/>
      <c r="I310" s="165"/>
      <c r="J310" s="165"/>
      <c r="K310" s="165"/>
      <c r="L310" s="165"/>
      <c r="M310" s="165"/>
      <c r="N310" s="165"/>
      <c r="O310" s="165"/>
      <c r="P310" s="165"/>
      <c r="Q310" s="165"/>
      <c r="R310" s="165"/>
      <c r="S310" s="165"/>
      <c r="T310" s="165"/>
      <c r="U310" s="165"/>
      <c r="V310" s="30"/>
    </row>
    <row r="311" spans="2:22" ht="15" customHeight="1" x14ac:dyDescent="0.25">
      <c r="B311" s="29"/>
      <c r="C311" s="165" t="s">
        <v>185</v>
      </c>
      <c r="D311" s="165"/>
      <c r="E311" s="165"/>
      <c r="F311" s="165"/>
      <c r="G311" s="165"/>
      <c r="H311" s="165"/>
      <c r="I311" s="165"/>
      <c r="J311" s="165"/>
      <c r="K311" s="165"/>
      <c r="L311" s="165"/>
      <c r="M311" s="165"/>
      <c r="N311" s="165"/>
      <c r="O311" s="165"/>
      <c r="P311" s="165"/>
      <c r="Q311" s="165"/>
      <c r="R311" s="165"/>
      <c r="S311" s="165"/>
      <c r="T311" s="165"/>
      <c r="U311" s="165"/>
      <c r="V311" s="30"/>
    </row>
    <row r="312" spans="2:22" ht="15" customHeight="1" x14ac:dyDescent="0.25">
      <c r="B312" s="29"/>
      <c r="V312" s="30"/>
    </row>
    <row r="313" spans="2:22" ht="15" customHeight="1" x14ac:dyDescent="0.25">
      <c r="B313" s="29"/>
      <c r="C313" s="164" t="s">
        <v>186</v>
      </c>
      <c r="D313" s="164"/>
      <c r="E313" s="164"/>
      <c r="F313" s="164"/>
      <c r="G313" s="164"/>
      <c r="H313" s="164"/>
      <c r="I313" s="164"/>
      <c r="J313" s="164"/>
      <c r="K313" s="164"/>
      <c r="L313" s="164"/>
      <c r="M313" s="164"/>
      <c r="N313" s="164"/>
      <c r="O313" s="164"/>
      <c r="P313" s="164"/>
      <c r="Q313" s="164"/>
      <c r="R313" s="164"/>
      <c r="S313" s="164"/>
      <c r="T313" s="164"/>
      <c r="U313" s="164"/>
      <c r="V313" s="30"/>
    </row>
    <row r="314" spans="2:22" ht="15" customHeight="1" x14ac:dyDescent="0.25">
      <c r="B314" s="29"/>
      <c r="C314" s="165" t="s">
        <v>187</v>
      </c>
      <c r="D314" s="165"/>
      <c r="E314" s="165"/>
      <c r="F314" s="165"/>
      <c r="G314" s="165"/>
      <c r="H314" s="165"/>
      <c r="I314" s="165"/>
      <c r="J314" s="165"/>
      <c r="K314" s="165"/>
      <c r="L314" s="165"/>
      <c r="M314" s="165"/>
      <c r="N314" s="165"/>
      <c r="O314" s="165"/>
      <c r="P314" s="165"/>
      <c r="Q314" s="165"/>
      <c r="R314" s="165"/>
      <c r="S314" s="165"/>
      <c r="T314" s="165"/>
      <c r="U314" s="165"/>
      <c r="V314" s="30"/>
    </row>
    <row r="315" spans="2:22" ht="15" customHeight="1" x14ac:dyDescent="0.25">
      <c r="B315" s="29"/>
      <c r="C315" s="165" t="s">
        <v>188</v>
      </c>
      <c r="D315" s="165"/>
      <c r="E315" s="165"/>
      <c r="F315" s="165"/>
      <c r="G315" s="165"/>
      <c r="H315" s="165"/>
      <c r="I315" s="165"/>
      <c r="J315" s="165"/>
      <c r="K315" s="165"/>
      <c r="L315" s="165"/>
      <c r="M315" s="165"/>
      <c r="N315" s="165"/>
      <c r="O315" s="165"/>
      <c r="P315" s="165"/>
      <c r="Q315" s="165"/>
      <c r="R315" s="165"/>
      <c r="S315" s="165"/>
      <c r="T315" s="165"/>
      <c r="U315" s="165"/>
      <c r="V315" s="30"/>
    </row>
    <row r="316" spans="2:22" ht="15" customHeight="1" x14ac:dyDescent="0.25">
      <c r="B316" s="29"/>
      <c r="C316" s="165" t="s">
        <v>189</v>
      </c>
      <c r="D316" s="165"/>
      <c r="E316" s="165"/>
      <c r="F316" s="165"/>
      <c r="G316" s="165"/>
      <c r="H316" s="165"/>
      <c r="I316" s="165"/>
      <c r="J316" s="165"/>
      <c r="K316" s="165"/>
      <c r="L316" s="165"/>
      <c r="M316" s="165"/>
      <c r="N316" s="165"/>
      <c r="O316" s="165"/>
      <c r="P316" s="165"/>
      <c r="Q316" s="165"/>
      <c r="R316" s="165"/>
      <c r="S316" s="165"/>
      <c r="T316" s="165"/>
      <c r="U316" s="165"/>
      <c r="V316" s="30"/>
    </row>
    <row r="317" spans="2:22" ht="15" customHeight="1" x14ac:dyDescent="0.25">
      <c r="B317" s="29"/>
      <c r="C317" s="165" t="s">
        <v>190</v>
      </c>
      <c r="D317" s="165"/>
      <c r="E317" s="165"/>
      <c r="F317" s="165"/>
      <c r="G317" s="165"/>
      <c r="H317" s="165"/>
      <c r="I317" s="165"/>
      <c r="J317" s="165"/>
      <c r="K317" s="165"/>
      <c r="L317" s="165"/>
      <c r="M317" s="165"/>
      <c r="N317" s="165"/>
      <c r="O317" s="165"/>
      <c r="P317" s="165"/>
      <c r="Q317" s="165"/>
      <c r="R317" s="165"/>
      <c r="S317" s="165"/>
      <c r="T317" s="165"/>
      <c r="U317" s="165"/>
      <c r="V317" s="30"/>
    </row>
    <row r="318" spans="2:22" ht="15" customHeight="1" x14ac:dyDescent="0.25">
      <c r="B318" s="29"/>
      <c r="V318" s="30"/>
    </row>
    <row r="319" spans="2:22" ht="15" customHeight="1" thickBot="1" x14ac:dyDescent="0.3">
      <c r="B319" s="32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4"/>
    </row>
  </sheetData>
  <mergeCells count="78">
    <mergeCell ref="J157:U173"/>
    <mergeCell ref="J199:U215"/>
    <mergeCell ref="J241:U257"/>
    <mergeCell ref="E111:U112"/>
    <mergeCell ref="E27:U28"/>
    <mergeCell ref="E69:U70"/>
    <mergeCell ref="E153:U154"/>
    <mergeCell ref="F115:I115"/>
    <mergeCell ref="F157:I157"/>
    <mergeCell ref="C153:D154"/>
    <mergeCell ref="J31:U47"/>
    <mergeCell ref="J73:U89"/>
    <mergeCell ref="J115:U131"/>
    <mergeCell ref="C298:U298"/>
    <mergeCell ref="C279:U279"/>
    <mergeCell ref="F31:I31"/>
    <mergeCell ref="C65:D66"/>
    <mergeCell ref="E65:U66"/>
    <mergeCell ref="C107:D108"/>
    <mergeCell ref="E107:U108"/>
    <mergeCell ref="C149:D150"/>
    <mergeCell ref="E149:U150"/>
    <mergeCell ref="C69:D70"/>
    <mergeCell ref="F73:I73"/>
    <mergeCell ref="C111:D112"/>
    <mergeCell ref="C299:U299"/>
    <mergeCell ref="C300:U300"/>
    <mergeCell ref="C301:U301"/>
    <mergeCell ref="C302:U302"/>
    <mergeCell ref="C317:U317"/>
    <mergeCell ref="C309:U309"/>
    <mergeCell ref="C310:U310"/>
    <mergeCell ref="C311:U311"/>
    <mergeCell ref="C313:U313"/>
    <mergeCell ref="C314:U314"/>
    <mergeCell ref="C315:U315"/>
    <mergeCell ref="C316:U316"/>
    <mergeCell ref="C303:U303"/>
    <mergeCell ref="C304:U304"/>
    <mergeCell ref="C305:U305"/>
    <mergeCell ref="C306:U306"/>
    <mergeCell ref="C308:U308"/>
    <mergeCell ref="C25:U25"/>
    <mergeCell ref="C27:D28"/>
    <mergeCell ref="C7:D7"/>
    <mergeCell ref="C5:D5"/>
    <mergeCell ref="C6:D6"/>
    <mergeCell ref="C23:D23"/>
    <mergeCell ref="E23:F23"/>
    <mergeCell ref="C11:D11"/>
    <mergeCell ref="C12:D12"/>
    <mergeCell ref="C13:D13"/>
    <mergeCell ref="C14:D14"/>
    <mergeCell ref="C15:D15"/>
    <mergeCell ref="C16:D16"/>
    <mergeCell ref="C17:D17"/>
    <mergeCell ref="C18:D18"/>
    <mergeCell ref="C22:D22"/>
    <mergeCell ref="E22:F22"/>
    <mergeCell ref="C4:D4"/>
    <mergeCell ref="C8:D8"/>
    <mergeCell ref="C9:D9"/>
    <mergeCell ref="C10:D10"/>
    <mergeCell ref="C275:D276"/>
    <mergeCell ref="E275:U276"/>
    <mergeCell ref="C233:D234"/>
    <mergeCell ref="E233:U234"/>
    <mergeCell ref="C237:D238"/>
    <mergeCell ref="E237:U238"/>
    <mergeCell ref="F241:I241"/>
    <mergeCell ref="C191:D192"/>
    <mergeCell ref="E191:U192"/>
    <mergeCell ref="C195:D196"/>
    <mergeCell ref="E195:U196"/>
    <mergeCell ref="F199:I199"/>
    <mergeCell ref="C19:D19"/>
    <mergeCell ref="C1:U1"/>
    <mergeCell ref="C2:U2"/>
  </mergeCells>
  <conditionalFormatting sqref="F33:I47">
    <cfRule type="containsErrors" dxfId="40" priority="59" stopIfTrue="1">
      <formula>ISERROR(F33)</formula>
    </cfRule>
  </conditionalFormatting>
  <conditionalFormatting sqref="F75:I80">
    <cfRule type="containsErrors" dxfId="39" priority="58" stopIfTrue="1">
      <formula>ISERROR(F75)</formula>
    </cfRule>
  </conditionalFormatting>
  <conditionalFormatting sqref="F117:I122">
    <cfRule type="containsErrors" dxfId="38" priority="57" stopIfTrue="1">
      <formula>ISERROR(F117)</formula>
    </cfRule>
  </conditionalFormatting>
  <conditionalFormatting sqref="F159:I164">
    <cfRule type="containsErrors" dxfId="37" priority="56" stopIfTrue="1">
      <formula>ISERROR(F159)</formula>
    </cfRule>
  </conditionalFormatting>
  <conditionalFormatting sqref="F48:I48">
    <cfRule type="cellIs" dxfId="36" priority="51" operator="equal">
      <formula>$J$48</formula>
    </cfRule>
  </conditionalFormatting>
  <conditionalFormatting sqref="F90:I90">
    <cfRule type="cellIs" dxfId="35" priority="47" operator="equal">
      <formula>$J$90</formula>
    </cfRule>
  </conditionalFormatting>
  <conditionalFormatting sqref="F132:I132">
    <cfRule type="cellIs" dxfId="34" priority="46" operator="equal">
      <formula>$J$132</formula>
    </cfRule>
  </conditionalFormatting>
  <conditionalFormatting sqref="F174:I174">
    <cfRule type="cellIs" dxfId="33" priority="45" operator="equal">
      <formula>$J$174</formula>
    </cfRule>
  </conditionalFormatting>
  <conditionalFormatting sqref="J285">
    <cfRule type="containsErrors" dxfId="32" priority="34">
      <formula>ISERROR(J285)</formula>
    </cfRule>
    <cfRule type="iconSet" priority="148">
      <iconSet iconSet="3Symbols2">
        <cfvo type="percent" val="0"/>
        <cfvo type="num" val="$J$283"/>
        <cfvo type="num" val="$K$285"/>
      </iconSet>
    </cfRule>
  </conditionalFormatting>
  <conditionalFormatting sqref="J31">
    <cfRule type="cellIs" dxfId="31" priority="40" operator="equal">
      <formula>0</formula>
    </cfRule>
  </conditionalFormatting>
  <conditionalFormatting sqref="J73">
    <cfRule type="cellIs" dxfId="30" priority="39" operator="equal">
      <formula>0</formula>
    </cfRule>
  </conditionalFormatting>
  <conditionalFormatting sqref="J115">
    <cfRule type="cellIs" dxfId="29" priority="38" operator="equal">
      <formula>0</formula>
    </cfRule>
  </conditionalFormatting>
  <conditionalFormatting sqref="J157">
    <cfRule type="cellIs" dxfId="28" priority="37" operator="equal">
      <formula>0</formula>
    </cfRule>
  </conditionalFormatting>
  <conditionalFormatting sqref="C5:G19">
    <cfRule type="cellIs" dxfId="27" priority="33" operator="equal">
      <formula>0</formula>
    </cfRule>
  </conditionalFormatting>
  <conditionalFormatting sqref="E33:E47">
    <cfRule type="cellIs" dxfId="26" priority="31" operator="equal">
      <formula>0</formula>
    </cfRule>
  </conditionalFormatting>
  <conditionalFormatting sqref="E117:E131">
    <cfRule type="cellIs" dxfId="25" priority="29" operator="equal">
      <formula>0</formula>
    </cfRule>
  </conditionalFormatting>
  <conditionalFormatting sqref="E159:E173">
    <cfRule type="cellIs" dxfId="24" priority="28" operator="equal">
      <formula>0</formula>
    </cfRule>
  </conditionalFormatting>
  <conditionalFormatting sqref="F281">
    <cfRule type="cellIs" dxfId="23" priority="27" operator="equal">
      <formula>0</formula>
    </cfRule>
  </conditionalFormatting>
  <conditionalFormatting sqref="G281:K281">
    <cfRule type="cellIs" dxfId="22" priority="26" operator="equal">
      <formula>0</formula>
    </cfRule>
  </conditionalFormatting>
  <conditionalFormatting sqref="G20">
    <cfRule type="cellIs" dxfId="21" priority="25" operator="equal">
      <formula>0</formula>
    </cfRule>
  </conditionalFormatting>
  <conditionalFormatting sqref="F201:I206">
    <cfRule type="containsErrors" dxfId="20" priority="24" stopIfTrue="1">
      <formula>ISERROR(F201)</formula>
    </cfRule>
  </conditionalFormatting>
  <conditionalFormatting sqref="F216:I216">
    <cfRule type="cellIs" dxfId="19" priority="23" operator="equal">
      <formula>$J$216</formula>
    </cfRule>
  </conditionalFormatting>
  <conditionalFormatting sqref="J199">
    <cfRule type="cellIs" dxfId="18" priority="22" operator="equal">
      <formula>0</formula>
    </cfRule>
  </conditionalFormatting>
  <conditionalFormatting sqref="E201:E215">
    <cfRule type="cellIs" dxfId="17" priority="21" operator="equal">
      <formula>0</formula>
    </cfRule>
  </conditionalFormatting>
  <conditionalFormatting sqref="F243:I248">
    <cfRule type="containsErrors" dxfId="16" priority="20" stopIfTrue="1">
      <formula>ISERROR(F243)</formula>
    </cfRule>
  </conditionalFormatting>
  <conditionalFormatting sqref="F258:I258">
    <cfRule type="cellIs" dxfId="15" priority="19" operator="equal">
      <formula>$J$258</formula>
    </cfRule>
  </conditionalFormatting>
  <conditionalFormatting sqref="J241">
    <cfRule type="cellIs" dxfId="14" priority="18" operator="equal">
      <formula>0</formula>
    </cfRule>
  </conditionalFormatting>
  <conditionalFormatting sqref="E243:E257">
    <cfRule type="cellIs" dxfId="13" priority="17" operator="equal">
      <formula>0</formula>
    </cfRule>
  </conditionalFormatting>
  <conditionalFormatting sqref="E27:U28 E69:U70 E111:U112 E153:U154 E195:U196 E237:U238">
    <cfRule type="cellIs" dxfId="12" priority="16" operator="equal">
      <formula>0</formula>
    </cfRule>
  </conditionalFormatting>
  <conditionalFormatting sqref="E75:E89">
    <cfRule type="cellIs" dxfId="11" priority="15" operator="equal">
      <formula>0</formula>
    </cfRule>
  </conditionalFormatting>
  <conditionalFormatting sqref="F282:H282">
    <cfRule type="cellIs" dxfId="10" priority="11" operator="equal">
      <formula>$E$281</formula>
    </cfRule>
  </conditionalFormatting>
  <conditionalFormatting sqref="I282:K282">
    <cfRule type="cellIs" dxfId="9" priority="10" operator="equal">
      <formula>$E$281</formula>
    </cfRule>
  </conditionalFormatting>
  <conditionalFormatting sqref="F282:K282">
    <cfRule type="containsErrors" dxfId="8" priority="9">
      <formula>ISERROR(F282)</formula>
    </cfRule>
  </conditionalFormatting>
  <conditionalFormatting sqref="F81:I89">
    <cfRule type="containsErrors" dxfId="7" priority="8" stopIfTrue="1">
      <formula>ISERROR(F81)</formula>
    </cfRule>
  </conditionalFormatting>
  <conditionalFormatting sqref="F123:I131">
    <cfRule type="containsErrors" dxfId="6" priority="7" stopIfTrue="1">
      <formula>ISERROR(F123)</formula>
    </cfRule>
  </conditionalFormatting>
  <conditionalFormatting sqref="F165:I173">
    <cfRule type="containsErrors" dxfId="5" priority="6" stopIfTrue="1">
      <formula>ISERROR(F165)</formula>
    </cfRule>
  </conditionalFormatting>
  <conditionalFormatting sqref="F207:I215">
    <cfRule type="containsErrors" dxfId="4" priority="5" stopIfTrue="1">
      <formula>ISERROR(F207)</formula>
    </cfRule>
  </conditionalFormatting>
  <conditionalFormatting sqref="F249:I257">
    <cfRule type="containsErrors" dxfId="3" priority="4" stopIfTrue="1">
      <formula>ISERROR(F249)</formula>
    </cfRule>
  </conditionalFormatting>
  <conditionalFormatting sqref="L281:T281">
    <cfRule type="cellIs" dxfId="2" priority="3" operator="equal">
      <formula>0</formula>
    </cfRule>
  </conditionalFormatting>
  <conditionalFormatting sqref="L282:T282">
    <cfRule type="cellIs" dxfId="1" priority="2" operator="equal">
      <formula>$E$281</formula>
    </cfRule>
  </conditionalFormatting>
  <conditionalFormatting sqref="L282:T282">
    <cfRule type="containsErrors" dxfId="0" priority="1">
      <formula>ISERROR(L282)</formula>
    </cfRule>
  </conditionalFormatting>
  <pageMargins left="0.70866141732283472" right="0.70866141732283472" top="0.74803149606299213" bottom="0.74803149606299213" header="0.31496062992125984" footer="0.31496062992125984"/>
  <pageSetup scale="46" orientation="landscape" useFirstPageNumber="1" r:id="rId1"/>
  <headerFooter alignWithMargins="0"/>
  <rowBreaks count="1" manualBreakCount="1">
    <brk id="148" max="16383" man="1"/>
  </rowBreaks>
  <ignoredErrors>
    <ignoredError sqref="F33:I33 F34:I34 F75:I75 F76:I76 F35:G35 F36:I38 H35:I35 F77:H77 F78:I80 I77 F117:I122 J285" evalError="1"/>
  </ignoredError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3A8479D0C705B41B11663D8F6E4E627" ma:contentTypeVersion="12" ma:contentTypeDescription="Crear nuevo documento." ma:contentTypeScope="" ma:versionID="60c3d4b024373803da55f9c7f1182df5">
  <xsd:schema xmlns:xsd="http://www.w3.org/2001/XMLSchema" xmlns:xs="http://www.w3.org/2001/XMLSchema" xmlns:p="http://schemas.microsoft.com/office/2006/metadata/properties" xmlns:ns2="4848f042-6a9d-4031-8d7b-47184af16f09" xmlns:ns3="b45256ba-2ff6-433d-819d-04f5ec238502" targetNamespace="http://schemas.microsoft.com/office/2006/metadata/properties" ma:root="true" ma:fieldsID="a45beffe5f4f220cc5b2ea31c398b7e3" ns2:_="" ns3:_="">
    <xsd:import namespace="4848f042-6a9d-4031-8d7b-47184af16f09"/>
    <xsd:import namespace="b45256ba-2ff6-433d-819d-04f5ec2385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48f042-6a9d-4031-8d7b-47184af16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256ba-2ff6-433d-819d-04f5ec23850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4B50B3-0465-442E-B03C-DCED5F0C425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E313F8-AB84-410C-9FC7-A477205444F2}"/>
</file>

<file path=customXml/itemProps3.xml><?xml version="1.0" encoding="utf-8"?>
<ds:datastoreItem xmlns:ds="http://schemas.openxmlformats.org/officeDocument/2006/customXml" ds:itemID="{D557FB16-5FE7-4EB1-8CED-B2ADCB85A55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138</vt:i4>
      </vt:variant>
    </vt:vector>
  </HeadingPairs>
  <TitlesOfParts>
    <vt:vector size="162" baseType="lpstr">
      <vt:lpstr>RUBRIC SO#</vt:lpstr>
      <vt:lpstr>1</vt:lpstr>
      <vt:lpstr>2</vt:lpstr>
      <vt:lpstr>3</vt:lpstr>
      <vt:lpstr>4</vt:lpstr>
      <vt:lpstr>5</vt:lpstr>
      <vt:lpstr>6</vt:lpstr>
      <vt:lpstr>7</vt:lpstr>
      <vt:lpstr>EF_ASESSM_SO#_CODIG_MODULO_1</vt:lpstr>
      <vt:lpstr>EF_ASESSM_SO#_CODIG_MODULO_2</vt:lpstr>
      <vt:lpstr>EF_ASESSM_SO#_CODIG_MODULO_3</vt:lpstr>
      <vt:lpstr>EF_ASESSM_SO#_CODIG_MODULO_4</vt:lpstr>
      <vt:lpstr>EF_ASESSM_SO#_CODIG_MODULO_5</vt:lpstr>
      <vt:lpstr>EF_ASESSM_SO#_CODIG_MODULO_6</vt:lpstr>
      <vt:lpstr>EF_ASESSM_SO#_CODIG_MODULO_7</vt:lpstr>
      <vt:lpstr>EF_ASESSM_SO#_CODIG_MODULO_8</vt:lpstr>
      <vt:lpstr>EF_ASESSM_SO#_CODIG_MODULO_9</vt:lpstr>
      <vt:lpstr>EF_ASESSM_SO#_CODIG_MODULO_10</vt:lpstr>
      <vt:lpstr>EF_ASESSM_SO#_CODIG_MODULO_11</vt:lpstr>
      <vt:lpstr>EF_ASESSM_SO#_CODIG_MODULO_12</vt:lpstr>
      <vt:lpstr>EF_ASESSM_SO#_CODIG_MODULO_13</vt:lpstr>
      <vt:lpstr>EF_ASESSM_SO#_CODIG_MODULO_14</vt:lpstr>
      <vt:lpstr>EF_ASESSM_SO#_CODIG_MODULO_15</vt:lpstr>
      <vt:lpstr>FINAL_REPORT_ASESSMT_SO</vt:lpstr>
      <vt:lpstr>Analisis_Pegar</vt:lpstr>
      <vt:lpstr>'EF_ASESSM_SO#_CODIG_MODULO_10'!Analisis_Pegar_10</vt:lpstr>
      <vt:lpstr>'EF_ASESSM_SO#_CODIG_MODULO_11'!Analisis_Pegar_11</vt:lpstr>
      <vt:lpstr>'EF_ASESSM_SO#_CODIG_MODULO_12'!Analisis_Pegar_12</vt:lpstr>
      <vt:lpstr>'EF_ASESSM_SO#_CODIG_MODULO_13'!Analisis_Pegar_13</vt:lpstr>
      <vt:lpstr>'EF_ASESSM_SO#_CODIG_MODULO_14'!Analisis_Pegar_14</vt:lpstr>
      <vt:lpstr>'EF_ASESSM_SO#_CODIG_MODULO_15'!Analisis_Pegar_15</vt:lpstr>
      <vt:lpstr>Analisis_Pegar_2</vt:lpstr>
      <vt:lpstr>Analisis_Pegar_3</vt:lpstr>
      <vt:lpstr>Analisis_Pegar_4</vt:lpstr>
      <vt:lpstr>Analisis_Pegar_5</vt:lpstr>
      <vt:lpstr>Analisis_Pegar_6</vt:lpstr>
      <vt:lpstr>'EF_ASESSM_SO#_CODIG_MODULO_7'!Analisis_Pegar_7</vt:lpstr>
      <vt:lpstr>'EF_ASESSM_SO#_CODIG_MODULO_8'!Analisis_Pegar_8</vt:lpstr>
      <vt:lpstr>'EF_ASESSM_SO#_CODIG_MODULO_9'!Analisis_Pegar_9</vt:lpstr>
      <vt:lpstr>'EF_ASESSM_SO#_CODIG_MODULO_1'!Área_de_impresión</vt:lpstr>
      <vt:lpstr>'EF_ASESSM_SO#_CODIG_MODULO_10'!Área_de_impresión</vt:lpstr>
      <vt:lpstr>'EF_ASESSM_SO#_CODIG_MODULO_11'!Área_de_impresión</vt:lpstr>
      <vt:lpstr>'EF_ASESSM_SO#_CODIG_MODULO_12'!Área_de_impresión</vt:lpstr>
      <vt:lpstr>'EF_ASESSM_SO#_CODIG_MODULO_13'!Área_de_impresión</vt:lpstr>
      <vt:lpstr>'EF_ASESSM_SO#_CODIG_MODULO_14'!Área_de_impresión</vt:lpstr>
      <vt:lpstr>'EF_ASESSM_SO#_CODIG_MODULO_15'!Área_de_impresión</vt:lpstr>
      <vt:lpstr>'EF_ASESSM_SO#_CODIG_MODULO_2'!Área_de_impresión</vt:lpstr>
      <vt:lpstr>'EF_ASESSM_SO#_CODIG_MODULO_3'!Área_de_impresión</vt:lpstr>
      <vt:lpstr>'EF_ASESSM_SO#_CODIG_MODULO_4'!Área_de_impresión</vt:lpstr>
      <vt:lpstr>'EF_ASESSM_SO#_CODIG_MODULO_5'!Área_de_impresión</vt:lpstr>
      <vt:lpstr>'EF_ASESSM_SO#_CODIG_MODULO_6'!Área_de_impresión</vt:lpstr>
      <vt:lpstr>'EF_ASESSM_SO#_CODIG_MODULO_7'!Área_de_impresión</vt:lpstr>
      <vt:lpstr>'EF_ASESSM_SO#_CODIG_MODULO_8'!Área_de_impresión</vt:lpstr>
      <vt:lpstr>'EF_ASESSM_SO#_CODIG_MODULO_9'!Área_de_impresión</vt:lpstr>
      <vt:lpstr>'RUBRIC SO#'!Área_de_impresión</vt:lpstr>
      <vt:lpstr>Consolidated_Assessment_SO</vt:lpstr>
      <vt:lpstr>Modulo1_Consolidado</vt:lpstr>
      <vt:lpstr>Modulo10_Consolidado</vt:lpstr>
      <vt:lpstr>Modulo11_Consolidado</vt:lpstr>
      <vt:lpstr>Modulo12_Consolidado</vt:lpstr>
      <vt:lpstr>Modulo13_Consolidado</vt:lpstr>
      <vt:lpstr>Modulo14_Consolidado</vt:lpstr>
      <vt:lpstr>Modulo15_Consolidado</vt:lpstr>
      <vt:lpstr>Modulo2_Consolidado</vt:lpstr>
      <vt:lpstr>Modulo3_Consolidado</vt:lpstr>
      <vt:lpstr>Modulo4_Consolidado</vt:lpstr>
      <vt:lpstr>Modulo5_Consolidado</vt:lpstr>
      <vt:lpstr>Modulo6_Consolidado</vt:lpstr>
      <vt:lpstr>Modulo7_Consolidado</vt:lpstr>
      <vt:lpstr>Modulo8_Consolidado</vt:lpstr>
      <vt:lpstr>Modulo9_Consolidado</vt:lpstr>
      <vt:lpstr>Periodo</vt:lpstr>
      <vt:lpstr>PI_11</vt:lpstr>
      <vt:lpstr>PI_110</vt:lpstr>
      <vt:lpstr>PI_111</vt:lpstr>
      <vt:lpstr>PI_112</vt:lpstr>
      <vt:lpstr>PI_113</vt:lpstr>
      <vt:lpstr>PI_114</vt:lpstr>
      <vt:lpstr>PI_115</vt:lpstr>
      <vt:lpstr>PI_12</vt:lpstr>
      <vt:lpstr>PI_13</vt:lpstr>
      <vt:lpstr>PI_14</vt:lpstr>
      <vt:lpstr>PI_15</vt:lpstr>
      <vt:lpstr>PI_16</vt:lpstr>
      <vt:lpstr>PI_17</vt:lpstr>
      <vt:lpstr>PI_18</vt:lpstr>
      <vt:lpstr>PI_19</vt:lpstr>
      <vt:lpstr>PI_21</vt:lpstr>
      <vt:lpstr>PI_210</vt:lpstr>
      <vt:lpstr>PI_211</vt:lpstr>
      <vt:lpstr>PI_212</vt:lpstr>
      <vt:lpstr>PI_213</vt:lpstr>
      <vt:lpstr>PI_214</vt:lpstr>
      <vt:lpstr>PI_215</vt:lpstr>
      <vt:lpstr>PI_22</vt:lpstr>
      <vt:lpstr>PI_23</vt:lpstr>
      <vt:lpstr>PI_24</vt:lpstr>
      <vt:lpstr>PI_25</vt:lpstr>
      <vt:lpstr>PI_26</vt:lpstr>
      <vt:lpstr>PI_27</vt:lpstr>
      <vt:lpstr>PI_28</vt:lpstr>
      <vt:lpstr>PI_29</vt:lpstr>
      <vt:lpstr>PI_31</vt:lpstr>
      <vt:lpstr>PI_310</vt:lpstr>
      <vt:lpstr>PI_311</vt:lpstr>
      <vt:lpstr>PI_312</vt:lpstr>
      <vt:lpstr>PI_313</vt:lpstr>
      <vt:lpstr>PI_314</vt:lpstr>
      <vt:lpstr>PI_315</vt:lpstr>
      <vt:lpstr>PI_32</vt:lpstr>
      <vt:lpstr>PI_33</vt:lpstr>
      <vt:lpstr>PI_34</vt:lpstr>
      <vt:lpstr>PI_35</vt:lpstr>
      <vt:lpstr>PI_36</vt:lpstr>
      <vt:lpstr>PI_37</vt:lpstr>
      <vt:lpstr>PI_38</vt:lpstr>
      <vt:lpstr>PI_39</vt:lpstr>
      <vt:lpstr>PI_41</vt:lpstr>
      <vt:lpstr>PI_410</vt:lpstr>
      <vt:lpstr>PI_411</vt:lpstr>
      <vt:lpstr>PI_412</vt:lpstr>
      <vt:lpstr>PI_413</vt:lpstr>
      <vt:lpstr>PI_414</vt:lpstr>
      <vt:lpstr>PI_415</vt:lpstr>
      <vt:lpstr>PI_42</vt:lpstr>
      <vt:lpstr>PI_43</vt:lpstr>
      <vt:lpstr>PI_44</vt:lpstr>
      <vt:lpstr>PI_45</vt:lpstr>
      <vt:lpstr>PI_46</vt:lpstr>
      <vt:lpstr>PI_47</vt:lpstr>
      <vt:lpstr>PI_48</vt:lpstr>
      <vt:lpstr>PI_49</vt:lpstr>
      <vt:lpstr>PI_51</vt:lpstr>
      <vt:lpstr>PI_510</vt:lpstr>
      <vt:lpstr>PI_511</vt:lpstr>
      <vt:lpstr>PI_512</vt:lpstr>
      <vt:lpstr>PI_513</vt:lpstr>
      <vt:lpstr>PI_514</vt:lpstr>
      <vt:lpstr>PI_515</vt:lpstr>
      <vt:lpstr>PI_52</vt:lpstr>
      <vt:lpstr>PI_53</vt:lpstr>
      <vt:lpstr>PI_54</vt:lpstr>
      <vt:lpstr>PI_55</vt:lpstr>
      <vt:lpstr>PI_56</vt:lpstr>
      <vt:lpstr>PI_57</vt:lpstr>
      <vt:lpstr>PI_58</vt:lpstr>
      <vt:lpstr>PI_59</vt:lpstr>
      <vt:lpstr>PI_61</vt:lpstr>
      <vt:lpstr>PI_610</vt:lpstr>
      <vt:lpstr>PI_611</vt:lpstr>
      <vt:lpstr>PI_612</vt:lpstr>
      <vt:lpstr>PI_613</vt:lpstr>
      <vt:lpstr>PI_614</vt:lpstr>
      <vt:lpstr>PI_615</vt:lpstr>
      <vt:lpstr>PI_62</vt:lpstr>
      <vt:lpstr>PI_63</vt:lpstr>
      <vt:lpstr>PI_64</vt:lpstr>
      <vt:lpstr>PI_65</vt:lpstr>
      <vt:lpstr>PI_66</vt:lpstr>
      <vt:lpstr>PI_67</vt:lpstr>
      <vt:lpstr>PI_68</vt:lpstr>
      <vt:lpstr>PI_69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Genett Isabel Jiménez Delgado;Anibal Rueda</dc:creator>
  <cp:keywords/>
  <dc:description/>
  <cp:lastModifiedBy>MARIO BRUME</cp:lastModifiedBy>
  <cp:revision/>
  <cp:lastPrinted>2023-06-17T16:28:42Z</cp:lastPrinted>
  <dcterms:created xsi:type="dcterms:W3CDTF">2020-01-31T15:22:46Z</dcterms:created>
  <dcterms:modified xsi:type="dcterms:W3CDTF">2023-06-18T04:23:03Z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0x01010013A8479D0C705B41B11663D8F6E4E627</vt:lpwstr>
  </property>
</Properties>
</file>