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O BRUME\Dropbox\PC (3)\Downloads\Formatos Actualizados LINEA ANI - GLI - CE\CE\"/>
    </mc:Choice>
  </mc:AlternateContent>
  <xr:revisionPtr revIDLastSave="0" documentId="13_ncr:1_{0F62FA77-F783-45AC-94B6-281451EEA2BF}" xr6:coauthVersionLast="47" xr6:coauthVersionMax="47" xr10:uidLastSave="{00000000-0000-0000-0000-000000000000}"/>
  <bookViews>
    <workbookView xWindow="-120" yWindow="-120" windowWidth="20730" windowHeight="11040" tabRatio="739" activeTab="1" xr2:uid="{00000000-000D-0000-FFFF-FFFF00000000}"/>
  </bookViews>
  <sheets>
    <sheet name="STUDENTS LIST" sheetId="18" r:id="rId1"/>
    <sheet name="RUBRIC" sheetId="10" r:id="rId2"/>
    <sheet name="EF_ASESSM_SO_GENERIC" sheetId="8" r:id="rId3"/>
    <sheet name="SO1" sheetId="11" state="veryHidden" r:id="rId4"/>
    <sheet name="SO2" sheetId="12" state="veryHidden" r:id="rId5"/>
    <sheet name="SO3" sheetId="13" state="veryHidden" r:id="rId6"/>
    <sheet name="SO4" sheetId="14" state="veryHidden" r:id="rId7"/>
    <sheet name="SO5" sheetId="15" state="veryHidden" r:id="rId8"/>
    <sheet name="SO6" sheetId="16" state="veryHidden" r:id="rId9"/>
    <sheet name="SO7" sheetId="17" state="veryHidden" r:id="rId10"/>
    <sheet name="Conversión" sheetId="9" state="veryHidden" r:id="rId11"/>
  </sheets>
  <definedNames>
    <definedName name="Analisis_Copiar">EF_ASESSM_SO_GENERIC!$B$71</definedName>
    <definedName name="_xlnm.Print_Area" localSheetId="2">EF_ASESSM_SO_GENERIC!$B$1:$Y$60</definedName>
    <definedName name="_xlnm.Print_Area" localSheetId="1">RUBRIC!$A$1:$S$17</definedName>
    <definedName name="Calificaciones">EF_ASESSM_SO_GENERIC!$B$14:$D$53,EF_ASESSM_SO_GENERIC!$H$14:$H$53,EF_ASESSM_SO_GENERIC!$K$14:$K$53,EF_ASESSM_SO_GENERIC!$N$14:$N$53,EF_ASESSM_SO_GENERIC!$Q$14:$Q$53,EF_ASESSM_SO_GENERIC!$T$14:$T$53,EF_ASESSM_SO_GENERIC!$W$14:$W$53</definedName>
    <definedName name="Datos_General">EF_ASESSM_SO_GENERIC!$B$5:$E$5</definedName>
    <definedName name="Estudiantes">EF_ASESSM_SO_GENERIC!$D$14:$D$53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8" l="1"/>
  <c r="K16" i="8"/>
  <c r="K17" i="8"/>
  <c r="W53" i="8"/>
  <c r="W52" i="8"/>
  <c r="W51" i="8"/>
  <c r="W50" i="8"/>
  <c r="W49" i="8"/>
  <c r="W48" i="8"/>
  <c r="W47" i="8"/>
  <c r="W46" i="8"/>
  <c r="W45" i="8"/>
  <c r="W44" i="8"/>
  <c r="W43" i="8"/>
  <c r="W42" i="8"/>
  <c r="W41" i="8"/>
  <c r="W40" i="8"/>
  <c r="W39" i="8"/>
  <c r="W38" i="8"/>
  <c r="W37" i="8"/>
  <c r="W36" i="8"/>
  <c r="W35" i="8"/>
  <c r="W34" i="8"/>
  <c r="W33" i="8"/>
  <c r="W32" i="8"/>
  <c r="W31" i="8"/>
  <c r="W30" i="8"/>
  <c r="W29" i="8"/>
  <c r="W28" i="8"/>
  <c r="W27" i="8"/>
  <c r="W26" i="8"/>
  <c r="W25" i="8"/>
  <c r="W24" i="8"/>
  <c r="W23" i="8"/>
  <c r="W22" i="8"/>
  <c r="W21" i="8"/>
  <c r="W20" i="8"/>
  <c r="W19" i="8"/>
  <c r="W18" i="8"/>
  <c r="W17" i="8"/>
  <c r="W16" i="8"/>
  <c r="W15" i="8"/>
  <c r="W1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I8" i="8" l="1"/>
  <c r="I7" i="8"/>
  <c r="I6" i="8"/>
  <c r="I5" i="8"/>
  <c r="K6" i="8" l="1"/>
  <c r="J6" i="8"/>
  <c r="K5" i="8"/>
  <c r="J5" i="8"/>
  <c r="K8" i="8"/>
  <c r="J8" i="8"/>
  <c r="K7" i="8"/>
  <c r="J7" i="8"/>
  <c r="B15" i="10"/>
  <c r="N55" i="8" l="1"/>
  <c r="I7" i="10"/>
  <c r="Y12" i="8"/>
  <c r="V12" i="8"/>
  <c r="S12" i="8"/>
  <c r="D9" i="10"/>
  <c r="E9" i="10"/>
  <c r="F9" i="10"/>
  <c r="D10" i="10"/>
  <c r="E10" i="10"/>
  <c r="F10" i="10"/>
  <c r="D11" i="10"/>
  <c r="E11" i="10"/>
  <c r="F11" i="10"/>
  <c r="D12" i="10"/>
  <c r="E12" i="10"/>
  <c r="F12" i="10"/>
  <c r="D13" i="10"/>
  <c r="E13" i="10"/>
  <c r="F13" i="10"/>
  <c r="D14" i="10"/>
  <c r="E14" i="10"/>
  <c r="F14" i="10"/>
  <c r="C10" i="10"/>
  <c r="C11" i="10"/>
  <c r="C12" i="10"/>
  <c r="C13" i="10"/>
  <c r="C14" i="10"/>
  <c r="C9" i="10"/>
  <c r="A10" i="10"/>
  <c r="K12" i="8" s="1"/>
  <c r="A11" i="10"/>
  <c r="N12" i="8" s="1"/>
  <c r="A12" i="10"/>
  <c r="Q12" i="8" s="1"/>
  <c r="A13" i="10"/>
  <c r="T12" i="8" s="1"/>
  <c r="A14" i="10"/>
  <c r="W12" i="8" s="1"/>
  <c r="A9" i="10"/>
  <c r="H12" i="8" s="1"/>
  <c r="D16" i="10"/>
  <c r="B1" i="10"/>
  <c r="V15" i="8" l="1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14" i="8"/>
  <c r="H62" i="8"/>
  <c r="F62" i="8"/>
  <c r="E62" i="8"/>
  <c r="G62" i="8"/>
  <c r="H61" i="8"/>
  <c r="G61" i="8"/>
  <c r="F61" i="8"/>
  <c r="E61" i="8"/>
  <c r="E5" i="8"/>
  <c r="S16" i="8" l="1"/>
  <c r="E60" i="8"/>
  <c r="H60" i="8" l="1"/>
  <c r="S17" i="8"/>
  <c r="F60" i="8"/>
  <c r="G60" i="8"/>
  <c r="S15" i="8"/>
  <c r="S14" i="8"/>
  <c r="F59" i="8"/>
  <c r="E59" i="8"/>
  <c r="H59" i="8"/>
  <c r="H58" i="8"/>
  <c r="E58" i="8" l="1"/>
  <c r="F58" i="8"/>
  <c r="G58" i="8"/>
  <c r="G59" i="8"/>
  <c r="E57" i="8"/>
  <c r="H57" i="8"/>
  <c r="G57" i="8"/>
  <c r="F57" i="8"/>
  <c r="E4" i="10"/>
  <c r="B4" i="10"/>
  <c r="A6" i="10" l="1"/>
  <c r="B2" i="8" l="1"/>
  <c r="E16" i="10" l="1"/>
  <c r="C15" i="10"/>
  <c r="P12" i="8"/>
  <c r="M12" i="8"/>
  <c r="J12" i="8"/>
  <c r="M16" i="8" l="1"/>
  <c r="M15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14" i="8"/>
  <c r="J52" i="8"/>
  <c r="J53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14" i="8"/>
  <c r="M18" i="8"/>
  <c r="M20" i="8"/>
  <c r="M22" i="8"/>
  <c r="M24" i="8"/>
  <c r="M26" i="8"/>
  <c r="M28" i="8"/>
  <c r="M30" i="8"/>
  <c r="M32" i="8"/>
  <c r="M34" i="8"/>
  <c r="M36" i="8"/>
  <c r="M38" i="8"/>
  <c r="M40" i="8"/>
  <c r="M42" i="8"/>
  <c r="M44" i="8"/>
  <c r="M46" i="8"/>
  <c r="M48" i="8"/>
  <c r="M50" i="8"/>
  <c r="M14" i="8"/>
  <c r="M52" i="8"/>
  <c r="M53" i="8"/>
  <c r="M17" i="8"/>
  <c r="M19" i="8"/>
  <c r="M21" i="8"/>
  <c r="M23" i="8"/>
  <c r="M25" i="8"/>
  <c r="M27" i="8"/>
  <c r="M29" i="8"/>
  <c r="M31" i="8"/>
  <c r="M33" i="8"/>
  <c r="M35" i="8"/>
  <c r="M37" i="8"/>
  <c r="M39" i="8"/>
  <c r="M41" i="8"/>
  <c r="M43" i="8"/>
  <c r="M45" i="8"/>
  <c r="M47" i="8"/>
  <c r="M49" i="8"/>
  <c r="M51" i="8"/>
  <c r="S43" i="8"/>
  <c r="S49" i="8"/>
  <c r="S52" i="8"/>
  <c r="S53" i="8"/>
  <c r="S44" i="8"/>
  <c r="S50" i="8"/>
  <c r="S19" i="8"/>
  <c r="S21" i="8"/>
  <c r="S23" i="8"/>
  <c r="S25" i="8"/>
  <c r="S27" i="8"/>
  <c r="S29" i="8"/>
  <c r="S31" i="8"/>
  <c r="S33" i="8"/>
  <c r="S35" i="8"/>
  <c r="S37" i="8"/>
  <c r="S39" i="8"/>
  <c r="S41" i="8"/>
  <c r="S45" i="8"/>
  <c r="S47" i="8"/>
  <c r="S51" i="8"/>
  <c r="S34" i="8"/>
  <c r="S36" i="8"/>
  <c r="S40" i="8"/>
  <c r="S46" i="8"/>
  <c r="S18" i="8"/>
  <c r="S20" i="8"/>
  <c r="S22" i="8"/>
  <c r="S24" i="8"/>
  <c r="S26" i="8"/>
  <c r="S28" i="8"/>
  <c r="S30" i="8"/>
  <c r="S32" i="8"/>
  <c r="S38" i="8"/>
  <c r="S42" i="8"/>
  <c r="S48" i="8"/>
  <c r="E53" i="8" l="1"/>
  <c r="F53" i="8" s="1"/>
  <c r="E52" i="8"/>
  <c r="F52" i="8" s="1"/>
  <c r="G52" i="8" s="1"/>
  <c r="E14" i="8"/>
  <c r="F14" i="8" s="1"/>
  <c r="G14" i="8" s="1"/>
  <c r="E51" i="8"/>
  <c r="F51" i="8" s="1"/>
  <c r="G51" i="8" s="1"/>
  <c r="E50" i="8"/>
  <c r="F50" i="8" s="1"/>
  <c r="G50" i="8" s="1"/>
  <c r="E49" i="8"/>
  <c r="F49" i="8" s="1"/>
  <c r="G49" i="8" s="1"/>
  <c r="E48" i="8"/>
  <c r="F48" i="8" s="1"/>
  <c r="E47" i="8"/>
  <c r="F47" i="8" s="1"/>
  <c r="G47" i="8" s="1"/>
  <c r="E46" i="8"/>
  <c r="F46" i="8" s="1"/>
  <c r="E45" i="8"/>
  <c r="F45" i="8" s="1"/>
  <c r="G45" i="8" s="1"/>
  <c r="E44" i="8"/>
  <c r="F44" i="8" s="1"/>
  <c r="G44" i="8" s="1"/>
  <c r="E43" i="8"/>
  <c r="F43" i="8" s="1"/>
  <c r="G43" i="8" s="1"/>
  <c r="E42" i="8"/>
  <c r="F42" i="8" s="1"/>
  <c r="E41" i="8"/>
  <c r="F41" i="8" s="1"/>
  <c r="G41" i="8" s="1"/>
  <c r="E40" i="8"/>
  <c r="F40" i="8" s="1"/>
  <c r="G40" i="8" s="1"/>
  <c r="E39" i="8"/>
  <c r="F39" i="8" s="1"/>
  <c r="G39" i="8" s="1"/>
  <c r="E38" i="8"/>
  <c r="F38" i="8" s="1"/>
  <c r="E37" i="8"/>
  <c r="F37" i="8" s="1"/>
  <c r="G37" i="8" s="1"/>
  <c r="E36" i="8"/>
  <c r="F36" i="8" s="1"/>
  <c r="G36" i="8" s="1"/>
  <c r="E35" i="8"/>
  <c r="F35" i="8" s="1"/>
  <c r="G35" i="8" s="1"/>
  <c r="E34" i="8"/>
  <c r="F34" i="8" s="1"/>
  <c r="G34" i="8" s="1"/>
  <c r="E33" i="8"/>
  <c r="F33" i="8" s="1"/>
  <c r="G33" i="8" s="1"/>
  <c r="E32" i="8"/>
  <c r="F32" i="8" s="1"/>
  <c r="G32" i="8" s="1"/>
  <c r="E31" i="8"/>
  <c r="F31" i="8" s="1"/>
  <c r="G31" i="8" s="1"/>
  <c r="E30" i="8"/>
  <c r="F30" i="8" s="1"/>
  <c r="G30" i="8" s="1"/>
  <c r="E29" i="8"/>
  <c r="F29" i="8" s="1"/>
  <c r="G29" i="8" s="1"/>
  <c r="E28" i="8"/>
  <c r="F28" i="8" s="1"/>
  <c r="G28" i="8" s="1"/>
  <c r="E27" i="8"/>
  <c r="F27" i="8" s="1"/>
  <c r="G27" i="8" s="1"/>
  <c r="E26" i="8"/>
  <c r="F26" i="8" s="1"/>
  <c r="E25" i="8"/>
  <c r="F25" i="8" s="1"/>
  <c r="G25" i="8" s="1"/>
  <c r="E24" i="8"/>
  <c r="F24" i="8" s="1"/>
  <c r="G24" i="8" s="1"/>
  <c r="E23" i="8"/>
  <c r="F23" i="8" s="1"/>
  <c r="G23" i="8" s="1"/>
  <c r="E22" i="8"/>
  <c r="F22" i="8" s="1"/>
  <c r="G22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E15" i="8"/>
  <c r="F15" i="8" s="1"/>
  <c r="G15" i="8" s="1"/>
  <c r="G53" i="8"/>
  <c r="G46" i="8"/>
  <c r="G42" i="8"/>
  <c r="G48" i="8"/>
  <c r="G38" i="8"/>
  <c r="G2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MARIO BRUME</author>
  </authors>
  <commentList>
    <comment ref="A1" authorId="0" shapeId="0" xr:uid="{1BC0DBB5-0FF7-4F5D-A192-A6EFB286FD6E}">
      <text>
        <r>
          <rPr>
            <b/>
            <sz val="12"/>
            <color indexed="81"/>
            <rFont val="Tahoma"/>
            <family val="2"/>
          </rPr>
          <t>SELECCIONAR RA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 shapeId="0" xr:uid="{7E75DF49-E39C-415C-AAAF-3ED7128490D3}">
      <text>
        <r>
          <rPr>
            <sz val="10"/>
            <color indexed="81"/>
            <rFont val="Tahoma"/>
            <family val="2"/>
          </rPr>
          <t>COLOCAR PORCENTAJE</t>
        </r>
      </text>
    </comment>
  </commentList>
</comments>
</file>

<file path=xl/sharedStrings.xml><?xml version="1.0" encoding="utf-8"?>
<sst xmlns="http://schemas.openxmlformats.org/spreadsheetml/2006/main" count="258" uniqueCount="194">
  <si>
    <t>ID</t>
  </si>
  <si>
    <t>ID NUMBER</t>
  </si>
  <si>
    <t>STUDENT NAME</t>
  </si>
  <si>
    <t>RA2</t>
  </si>
  <si>
    <t>Poor</t>
  </si>
  <si>
    <t>Low</t>
  </si>
  <si>
    <t>RA1</t>
  </si>
  <si>
    <t xml:space="preserve"> La capacidad de operar los procesos de importación y exportación de acuerdo a la normatividad vigente.</t>
  </si>
  <si>
    <t>Inadequate</t>
  </si>
  <si>
    <t>La capacidad de operar la logística de entrada y la logística de salida dentro de la cadena de valor, aplicando los mecanismos de seguridad y calidad en el proceso.</t>
  </si>
  <si>
    <t>Adequate</t>
  </si>
  <si>
    <t>Medium</t>
  </si>
  <si>
    <t>RA3</t>
  </si>
  <si>
    <t>Aplicar el pensamiento crítico y la habilidad para aportar en la solución de problemas en la cadena logística, teniendo en cuenta el contexto ambiental, cultural, social y económico de la empresa.</t>
  </si>
  <si>
    <t>ID:</t>
  </si>
  <si>
    <t>ID NUMBER:</t>
  </si>
  <si>
    <t>Exemplary</t>
  </si>
  <si>
    <t>High</t>
  </si>
  <si>
    <t>RA4</t>
  </si>
  <si>
    <t>Participar eficazmente en un equipo de trabajo,  a través de la creación de un entorno colaborativo e inclusivo que permita apoyar en el cumplimiento de objetivos y organización de trabajos.</t>
  </si>
  <si>
    <t>STUDENT NAME:</t>
  </si>
  <si>
    <t>RA5</t>
  </si>
  <si>
    <t>Trasmitir ideas, resultados, instrucciones, efectivamente con empleados, jefes, proveedores y clientes.</t>
  </si>
  <si>
    <t>%</t>
  </si>
  <si>
    <t>Contar</t>
  </si>
  <si>
    <t>(No)</t>
  </si>
  <si>
    <t>(Yes, but)</t>
  </si>
  <si>
    <t>(Yes)</t>
  </si>
  <si>
    <t>(Yes, even more)</t>
  </si>
  <si>
    <t>SCORE</t>
  </si>
  <si>
    <t>REPORT ASSESSMENT PER STUDENT</t>
  </si>
  <si>
    <t>COURSE</t>
  </si>
  <si>
    <t>GROUP</t>
  </si>
  <si>
    <t>TOTAL STUDENTS</t>
  </si>
  <si>
    <t>Score</t>
  </si>
  <si>
    <t>&lt; Indique código y nombre del módulo &gt;</t>
  </si>
  <si>
    <t>&lt; Indique nombre del grupo &gt;</t>
  </si>
  <si>
    <t>PROFESSOR</t>
  </si>
  <si>
    <t>&lt; Indique nombre del docente que realiza la medición &gt;</t>
  </si>
  <si>
    <t>PERIOD</t>
  </si>
  <si>
    <t>&lt; Indique el periodo en que se realiza la medición &gt;</t>
  </si>
  <si>
    <t>PERFORMANCE INDICATORS</t>
  </si>
  <si>
    <t>PERFORMANCE INDICATOR 1</t>
  </si>
  <si>
    <t>PERFORMANCE INDICATOR 2</t>
  </si>
  <si>
    <t>PERFORMANCE INDICATOR 3</t>
  </si>
  <si>
    <t>PERFORMANCE INDICATOR 4</t>
  </si>
  <si>
    <t>PERFORMANCE INDICATOR 5</t>
  </si>
  <si>
    <t>PERFORMANCE INDICATOR 6</t>
  </si>
  <si>
    <t>NUMBER ID</t>
  </si>
  <si>
    <t>STUDENT</t>
  </si>
  <si>
    <t>TOTAL SCORE</t>
  </si>
  <si>
    <t>LEVEL</t>
  </si>
  <si>
    <t>STANDARD</t>
  </si>
  <si>
    <t>Level</t>
  </si>
  <si>
    <t>Score PI1</t>
  </si>
  <si>
    <t>% PI 1</t>
  </si>
  <si>
    <t>Score PI2</t>
  </si>
  <si>
    <t>% PI 2</t>
  </si>
  <si>
    <t>Score PI3</t>
  </si>
  <si>
    <t>% PI 3</t>
  </si>
  <si>
    <t>Score PI4</t>
  </si>
  <si>
    <t>% PI 4</t>
  </si>
  <si>
    <t>Performance Indicators</t>
  </si>
  <si>
    <t>Level 1 
Poor</t>
  </si>
  <si>
    <t>Level 2
Inadequate</t>
  </si>
  <si>
    <t>Level 3
Adequate</t>
  </si>
  <si>
    <t>Level 4
Exemplary</t>
  </si>
  <si>
    <t>SO 5</t>
  </si>
  <si>
    <t>PI 1</t>
  </si>
  <si>
    <t>PI 2</t>
  </si>
  <si>
    <t>PI 3</t>
  </si>
  <si>
    <t>PI 4</t>
  </si>
  <si>
    <t>PI 5</t>
  </si>
  <si>
    <t>PI 6</t>
  </si>
  <si>
    <t>ANALYSIS OF RESULTS</t>
  </si>
  <si>
    <r>
      <rPr>
        <b/>
        <sz val="11"/>
        <color indexed="8"/>
        <rFont val="Calibri"/>
        <family val="2"/>
      </rPr>
      <t>Performance Indicator 1:</t>
    </r>
    <r>
      <rPr>
        <sz val="11"/>
        <color indexed="8"/>
        <rFont val="Calibri"/>
        <family val="2"/>
      </rPr>
      <t xml:space="preserve"> &lt; Indique el analisis de los resultados encontrados en la medición &gt;
</t>
    </r>
    <r>
      <rPr>
        <b/>
        <sz val="11"/>
        <color indexed="8"/>
        <rFont val="Calibri"/>
        <family val="2"/>
      </rPr>
      <t>Performance Indicator 2:</t>
    </r>
    <r>
      <rPr>
        <sz val="11"/>
        <color indexed="8"/>
        <rFont val="Calibri"/>
        <family val="2"/>
      </rPr>
      <t xml:space="preserve"> &lt; Indique el analisis de los resultados encontrados en la medición &gt;
</t>
    </r>
    <r>
      <rPr>
        <b/>
        <sz val="11"/>
        <color indexed="8"/>
        <rFont val="Calibri"/>
        <family val="2"/>
      </rPr>
      <t>Performance Indicator 3:</t>
    </r>
    <r>
      <rPr>
        <sz val="11"/>
        <color indexed="8"/>
        <rFont val="Calibri"/>
        <family val="2"/>
      </rPr>
      <t xml:space="preserve">  &lt; Indique el analisis de los resultados encontrados en la medición &gt;
</t>
    </r>
    <r>
      <rPr>
        <b/>
        <sz val="11"/>
        <color indexed="8"/>
        <rFont val="Calibri"/>
        <family val="2"/>
      </rPr>
      <t>Performance Indicator 4:</t>
    </r>
    <r>
      <rPr>
        <sz val="11"/>
        <color indexed="8"/>
        <rFont val="Calibri"/>
        <family val="2"/>
      </rPr>
      <t xml:space="preserve"> &lt; Indique el analisis de los resultados encontrados en la medición &gt;</t>
    </r>
  </si>
  <si>
    <t>SO1: Operar los procesos de importación y exportación de acuerdo a la normatividad vigente.</t>
  </si>
  <si>
    <t>Rúbrica SO (1)</t>
  </si>
  <si>
    <t>Deficiente
(NO)</t>
  </si>
  <si>
    <t>Insuficiente
(SÍ, PERO...)</t>
  </si>
  <si>
    <t>Bueno
(SÍ)</t>
  </si>
  <si>
    <t>Sobresaliente
(SÍ  Y MÁS...)</t>
  </si>
  <si>
    <t>Identificar los procedimientos generales para exportación e importación de bienes, tanto al interior de la empresa como ante terceros.
(Claridad, pertinencia y coherencia)</t>
  </si>
  <si>
    <t>No identifica los procedimientos generales para exportaciones e importaciones.</t>
  </si>
  <si>
    <t>Identifica los procedimientos generales para exportaciones e importaciones, pero no con el nivel de claridad que se requiere.</t>
  </si>
  <si>
    <t>Identifica claramente los procedimientos generales para exportaciones e importaciones, teniendo en cuenta las consideraciones y variables del entorno</t>
  </si>
  <si>
    <t>Identifica claramente y en su totalidad los procedimientos generales para exportaciones e importaciones, teniendo en cuenta las consideraciones y variables del entorno, proponiendo nuevas necesidades y problemas que no habían sido evidenciados</t>
  </si>
  <si>
    <t>Clasificar los trámites para importación y exportación al interior de la empresa y ante organismos competentes . (Claridad, Pertinencia)</t>
  </si>
  <si>
    <t>No clasifica  los trámites para importación y exportación, al interior de la empresa y ante organismos competentes.</t>
  </si>
  <si>
    <t xml:space="preserve"> Clasifica los trámites para importaciones y exportaciones, al interior de la empresa y ante organismos competentes, pero no realiza la selección de la alternativa mas pertinente., teniendo en cuenta criterios y restricciones establecidas</t>
  </si>
  <si>
    <t>Clasifica  claramente  los trámites para importaciones y exportaciones, al interior de la empresa y ante organismos competentes, teniendo en cuenta al menos un criterio de selección y restricción</t>
  </si>
  <si>
    <t>Clasifica claramente  los trámites para importaciones y exportaciones, al interior de la empresa y ante organismos competentes,  a partir de mas de un criterio y restricción establecida</t>
  </si>
  <si>
    <t>Diligenciar adecuada y oportunamente la documentación relacionada con la legalización de los procesos de importación y exportación, atendiendo la legislación vigente. (Estructura, Pertinencia)</t>
  </si>
  <si>
    <t xml:space="preserve">No diligencia adecuada y oportunamente la documentación. </t>
  </si>
  <si>
    <t>Diligencia la documentación, pero cumpliendo solo uno de los criterios establecidos (es decir, el diligenciamiento es pertinente pero no es estructurado, o el diligenciamiento es estructurado pero no es pertinente.</t>
  </si>
  <si>
    <t>Diligencia la documentación de manera pertinente y estructurada, atendiendo la legislación pertinente, no obstante hay inexactitudes en el resultado.</t>
  </si>
  <si>
    <t>Diligencia la documentación de manera pertinente y estructurada, atendiendo la legislación pertinente y se cumple a cabalidad con el resultado.</t>
  </si>
  <si>
    <t>Verifica los procedimientos aplicando criterios para la rectificación de la información y documentación en las operaciones de importación e importación. (Pertinencia y Originalidad)</t>
  </si>
  <si>
    <t>No verifica ni rectifica los procedimientos.</t>
  </si>
  <si>
    <t>Verifica y rectifica parcialmente  los procedimientos,</t>
  </si>
  <si>
    <t>Verifica y rectifica los procedimientos, no obstante, se evidencian omisiones y/o errores en la documentación.</t>
  </si>
  <si>
    <t>Verifica y rectifica los procedimientos, cumpliendo con pertinencia la normatividad vigente.</t>
  </si>
  <si>
    <t>SO2: La capacidad de operar la logística de entrada y la logística de salida dentro de la cadena de valor, aplicando los mecanismos de seguridad y calidad en el proceso.</t>
  </si>
  <si>
    <t>Rúbrica SO (2)</t>
  </si>
  <si>
    <t>Identificar los procedimientos generales en las operaciones de logística de entrada y la logística de salida dentro de la cadena de valor, aplicando los mecanismos de seguridad y calidad en el proceso.
(Claridad, pertinencia y coherencia)</t>
  </si>
  <si>
    <t>No identifica los procedimientos generales en las operaciones de logística de entrada y logística de salida.</t>
  </si>
  <si>
    <t>Identifica los procedimientos generales en las operaciones de logística de entrada y la logística de  salida, pero no con el nivel de claridad que se requiere.</t>
  </si>
  <si>
    <t>Identifica claramente los procedimientos generales en las operaciones de logística de entrada y la logística de  salidas, teniendo en cuenta las consideraciones y variables del entorno</t>
  </si>
  <si>
    <t>Identifica claramente y en su totalidad los procedimientos generales en las operaciones de logística de entrada y la logística de  salida, teniendo en cuenta las consideraciones y variables del entorno, proponiendo nuevas necesidades y problemas que no habían sido evidenciados</t>
  </si>
  <si>
    <t>Clasificar  los procedimientos generales para las operaciones de logística de entrada y la logística de salida dentro de la cadena de valor, aplicando los mecanismos de seguridad y calidad en el proceso.  (Claridad, Pertinencia)</t>
  </si>
  <si>
    <t>No clasifica operaciones de logística de entrada y la logística de salida.</t>
  </si>
  <si>
    <t xml:space="preserve"> Clasifica las operaciones de logística de entrada y la logística de salida, pero no realiza la selección de la alternativa mas pertinente., teniendo en cuenta criterios y restricciones establecidas</t>
  </si>
  <si>
    <t>Clasifica  claramente las operaciones de logística de entrada y la logística de salida, teniendo en cuenta al menos un criterio de selección y restricción</t>
  </si>
  <si>
    <t>Clasifica claramente  las operaciones de logística de entrada y la logística de salidas,  a partir de mas de un criterio y restricción establecida</t>
  </si>
  <si>
    <t>Desarrollar adecuada y oportunamente las operaciones la logística de entrada y la logística de salida dentro de la cadena de valor, aplicando los mecanismos de seguridad y calidad en el procesos. (Estructura, Pertinencia)</t>
  </si>
  <si>
    <t xml:space="preserve">No desarrolla adecuada y oportunamente las operaciones. </t>
  </si>
  <si>
    <t>Desarrolla las operaciones de logística de entrada y la logística de salida, pero cumpliendo solo uno de los criterios establecidos (es decir, el procedimiento  es pertinente pero no es estructurado, o las operaciones están estructurados pero no es pertinente.</t>
  </si>
  <si>
    <t>Diligencia la documentación de manera pertinente y estructurada, atendiendo la normatividad pertinente, no obstante, hay inexactitudes en el resultado esperado.</t>
  </si>
  <si>
    <t>Desarrolla adecuada y oportunamente las  operaciones de manera pertinente y estructurada, atendiendo a la normatividad  pertinente y se cumple a cabalidad con el resultado esperado.</t>
  </si>
  <si>
    <t>Verificar los procedimientos en las operaciones de logística de entrada y la logística de salida dentro de la cadena de valor, aplicando los mecanismos de seguridad y calidad en el procesos. (Pertinencia y Originalidad)</t>
  </si>
  <si>
    <t>No verifica ni rectifica las operaciones.</t>
  </si>
  <si>
    <t>Verifica y rectifica parcialmente  las operaciones.</t>
  </si>
  <si>
    <t>Verifica y rectifica los las operaciones de logística de entrada y salida, no obstante, se evidencian omisiones y/o errores en los procedimientos y en la documentación.</t>
  </si>
  <si>
    <t>Verifica y rectifica las operaciones, cumpliendo con pertinencia los requerimientos de acuerdo con los procedimientos.</t>
  </si>
  <si>
    <t xml:space="preserve">SO3: Aplicar el pensamiento crítico y la habilidad para aportar en la solución de problemas en la cadena logística, teniendo en cuenta el contexto ambiental, cultural, social y económico de la empresa. </t>
  </si>
  <si>
    <t>Rúbrica SO (3)</t>
  </si>
  <si>
    <t>Identifica las variables significativas del problema y las describe a través de herramientas de mejora continua en la cadena de suministro. (Estructurada)</t>
  </si>
  <si>
    <t>No identifica las variables significativas del problema y no las describe a través de herramientas  de mejora continua en la cadena de suministro.</t>
  </si>
  <si>
    <t>Identifica algunas variables, no todas son significativas, y la descripción a través de herramientas  de mejora continua en la cadena de suministro.</t>
  </si>
  <si>
    <t>Identifica las variables
 significativas del problema
 y las describe a través de 
herramientas de mejora continua en la cadena de suministro.</t>
  </si>
  <si>
    <t>Identifica las variables 
 significativas del problema
 y realiza una descripción estructurada, a través de 
herramientas de mejora continua en la cadena de suministro.</t>
  </si>
  <si>
    <t>Formula problemas complejos teniendo en cuenta las variables identificadas y los objetivos medibles y alcanzables. (pertinencia y rigurosidad)</t>
  </si>
  <si>
    <t>No es capaz de formular  problemas complejos teniendo en cuenta las variables identificadas y los objetivos medibles y alcanzables.</t>
  </si>
  <si>
    <t>Es capaz de formular problemas complejos pero se evidencia la falta de información pertinente relacionada a las variables significativas y/o objetivos medibles y alcanzables</t>
  </si>
  <si>
    <t>Formula problemas complejos teniendo en cuenta las variables identificadas y los objetivos medibles y alcanzables.</t>
  </si>
  <si>
    <t>Es capaz de formular problemas complejos de manera rigurosa teniendo en cuenta las variables identificadas y los objetivos medibles y alcanzables.</t>
  </si>
  <si>
    <t>Valorar posibles soluciones, a través de modelos, que satisfaga las necesidades, problemas y oportunidades identificadas  en la gestión de la cadena de valor. (Estructura, Pertinencia)</t>
  </si>
  <si>
    <t>No es capaz de resolver problemas complejos y no emplea técnicas de  mejora continua en la cadena de suministro.</t>
  </si>
  <si>
    <t>Resuelve problemas complejos sin tener coherencia con las  técnicas de mejora continua en la cadena de suministro.</t>
  </si>
  <si>
    <t>Valora la solución, de manera pertinente y estructurada, a través de modelos, que satisfaga las necesidades, problemas y oportunidades identificadas en el entorno.</t>
  </si>
  <si>
    <t>Valora la solución, de manera pertinente y estructurada, a través de modelos, que satisfacen las necesidades, problemas y oportunidades identificadas en el entorno, teniendo en consideración los impactos y beneficios esperados.</t>
  </si>
  <si>
    <t>dsf</t>
  </si>
  <si>
    <t xml:space="preserve">SO4:  Participar eficazmente en un equipo de trabajo,  a través de la creación de un entorno colaborativo e inclusivo que permita apoyar en el cumplimiento de objetivos y organización de trabajos. </t>
  </si>
  <si>
    <t>Rúbrica SO (4)</t>
  </si>
  <si>
    <t>Explicar su punto de vista respetando el de los demás infiriendo conclusiones que beneficien el trabajo colaborativo e inclusivo.</t>
  </si>
  <si>
    <t>No explica su punto de vista y no respeta el de los demás afectando el trabajo colaborativo e inclusivo</t>
  </si>
  <si>
    <t>Explica su punto de vista con poca claridad sin respetar el punto de vista de los demás afectando levemente el trabajo colaborativo e inclusivo</t>
  </si>
  <si>
    <t>Explica su punto de vista respetando el de los demás beneficiando el trabajo colaborativo e inclusivo</t>
  </si>
  <si>
    <t>Explica con total claridad y coherencia su punto de vista respetando el de los demás beneficiando el trabajo colaborativo</t>
  </si>
  <si>
    <t>Planificar y construir su propio procedimiento de trabajo, estableciendo objetivos, tareas, roles y compromisos de los miembros del equipo.</t>
  </si>
  <si>
    <t>No evidencia la Planificación y construcción en equipo de su propio procedimiento de trabajo, estableciendo objetivos, tareas, roles y compromisos de los miembros del equipo</t>
  </si>
  <si>
    <t>Planifica pero no construye en equipo su propio procedimiento de trabajo</t>
  </si>
  <si>
    <t>Evidencia la planificación y construcción en equipo de su propio procedimiento de trabajo, estableciendo objetivos, tareas, roles y compromisos de los miembros del equipo</t>
  </si>
  <si>
    <t>Evidencia la Planificación y construcción en equipo de su propio procedimiento de trabajo, de manera clara, coherente, colaborativa e inclusiva (estableciendo objetivos, tareas, roles y compromisos de los miembros del equipo)</t>
  </si>
  <si>
    <t>Diseñar la solución, a través de modelos, que satisfaga las necesidades, problemas y oportunidades identificadas  en la gestión de la cadena de valor. (Estructura, Pertinencia)</t>
  </si>
  <si>
    <t>No Desarrolla las actividades en equipo, en función de los objetivos y las opiniones de cada integrante.</t>
  </si>
  <si>
    <t>Desarrolla parcialmente las actividades en equipo, en función de los objetivos y las opiniones de cada integrante.</t>
  </si>
  <si>
    <t>Diseñar la solución, de manera pertinente y estructurada, a través de modelos, que satisfaga las necesidades, problemas y oportunidades identificadas en el entorno.</t>
  </si>
  <si>
    <t>Diseña la solución, de manera pertinente y estructurada, a través de modelos, que satisfacen las necesidades, problemas y oportunidades identificadas en el entorno, teniendo en consideración los impactos y beneficios esperados.</t>
  </si>
  <si>
    <t>Integrar los aportes de los miembros para cumplir los objetivos.</t>
  </si>
  <si>
    <t>No Integra los aportes de los miembros para cumplir los objetivos.</t>
  </si>
  <si>
    <t>Integra los aportes del grupo, pero no tiene coherencia con los objetivos a cumplir</t>
  </si>
  <si>
    <t>Integra los aportes de los miembros para cumplir los objetivos.</t>
  </si>
  <si>
    <t>Integra los aportes de los miembros para cumplir los objetivos, de manera coherente, colaborativa e inclusiva.</t>
  </si>
  <si>
    <t>SO5: Trasmitir ideas, resultados, instrucciones,  efectivamente con empleados, jefes, proveedores y clientes.</t>
  </si>
  <si>
    <t>Rúbrica SO (5)</t>
  </si>
  <si>
    <t>Organiza la información. (Organización y Concisión)</t>
  </si>
  <si>
    <t>En  la presentación de la información hay confusión del orden lógico  de las ideas centrales y  secundarias, no hay organización de la secuencia estructural.</t>
  </si>
  <si>
    <t>Organiza la información con una estructura definida pero no es coherente con la presentación de los contenidos.</t>
  </si>
  <si>
    <t>Organiza la información con una estructura básica en gran parte de la presentación y orden general en las ideas.</t>
  </si>
  <si>
    <t>Organiza la información secuencialmente presentando   ideas centrales del tema  siguiendo estrictamente la estructura y el orden lógico de preámbulo o introducción, desarrollo del tema, conclusiones.</t>
  </si>
  <si>
    <t>Utiliza el lenguaje  de acuerdo a los términos propios del contexto y la audiencia a la que se dirige. (Estructura y Pertinencia)</t>
  </si>
  <si>
    <t>No utiliza vocabulario apropiado para el contexto y la audiencia.</t>
  </si>
  <si>
    <t xml:space="preserve">Utiliza el lenguaje de acuerdo al contexto pero no va de acuerdo con la audiencia a la que se dirige. </t>
  </si>
  <si>
    <t>Utiliza el lenguaje  de acuerdo a los términos propios del contexto y la audiencia a la que se dirige</t>
  </si>
  <si>
    <t>Usa un vocabulario amplio y sin repetir palabras, apropiado y pertinente para la audiencia. Es muy claro, y no es ambiguo,.</t>
  </si>
  <si>
    <t>No utiliza ningún recurso o los utilizados no son apropiados</t>
  </si>
  <si>
    <t>Utiliza las herramientas y recursos pero no es claro en lo que requiere comunicar</t>
  </si>
  <si>
    <t>Rúbrica RA (6)</t>
  </si>
  <si>
    <t>Rúbrica RA (7)</t>
  </si>
  <si>
    <t>Standard</t>
  </si>
  <si>
    <t>Decision</t>
  </si>
  <si>
    <t>0,0 - 2,0</t>
  </si>
  <si>
    <t>0% - 30%</t>
  </si>
  <si>
    <t>Stablish and verify plans of corrective actions</t>
  </si>
  <si>
    <t>2,1 - 3,0</t>
  </si>
  <si>
    <t>31% - 60%</t>
  </si>
  <si>
    <t>3,1 - 4,0</t>
  </si>
  <si>
    <t>61% - 80%</t>
  </si>
  <si>
    <t>Stablish and verify plans of preventive actions</t>
  </si>
  <si>
    <t>4,1 - 5,0</t>
  </si>
  <si>
    <t>81% - 100</t>
  </si>
  <si>
    <t>Stablish improvement plans / maintenance the standard</t>
  </si>
  <si>
    <r>
      <rPr>
        <b/>
        <sz val="20"/>
        <color theme="1"/>
        <rFont val="Calibri"/>
        <family val="2"/>
      </rPr>
      <t xml:space="preserve">MEDICIONES RESULTADOS DE APRENDIZAJE
FACULTAD DE CIENCIAS ECONOMICAS Y ADMINISTRATIVAS
</t>
    </r>
    <r>
      <rPr>
        <b/>
        <sz val="14"/>
        <color theme="1"/>
        <rFont val="Calibri"/>
        <family val="2"/>
      </rPr>
      <t>PROGRAMA TECNICO PROFESIONAL EN OPERACIONES DEL COMERCIO EXTERIOR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</si>
</sst>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[$-240A]General"/>
  </numFmts>
  <fonts count="34" x14ac:knownFonts="1"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9"/>
      <color indexed="9"/>
      <name val="Calibri"/>
      <family val="2"/>
    </font>
    <font>
      <b/>
      <sz val="18"/>
      <color rgb="FFFFFFFF"/>
      <name val="Calibri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</font>
    <font>
      <b/>
      <sz val="9"/>
      <color theme="0"/>
      <name val="Calibri"/>
      <family val="2"/>
    </font>
    <font>
      <b/>
      <sz val="11"/>
      <name val="Verdana"/>
      <family val="2"/>
    </font>
    <font>
      <b/>
      <sz val="14"/>
      <color theme="0"/>
      <name val="Calibri"/>
      <family val="2"/>
    </font>
    <font>
      <b/>
      <sz val="18"/>
      <color theme="0"/>
      <name val="Calibri"/>
      <family val="2"/>
    </font>
    <font>
      <b/>
      <sz val="16"/>
      <color theme="0"/>
      <name val="Calibri"/>
      <family val="2"/>
    </font>
    <font>
      <sz val="11"/>
      <name val="Verdana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8"/>
      <color indexed="9"/>
      <name val="Calibri"/>
      <family val="2"/>
    </font>
    <font>
      <sz val="10"/>
      <color indexed="8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Calibri"/>
      <family val="2"/>
    </font>
    <font>
      <b/>
      <sz val="8"/>
      <color theme="1"/>
      <name val="Arial"/>
      <family val="2"/>
    </font>
    <font>
      <sz val="8"/>
      <color indexed="9"/>
      <name val="Calibri"/>
      <family val="2"/>
    </font>
    <font>
      <b/>
      <sz val="14"/>
      <color indexed="9"/>
      <name val="Calibri"/>
      <family val="2"/>
    </font>
    <font>
      <sz val="14"/>
      <color indexed="8"/>
      <name val="Calibri"/>
      <family val="2"/>
    </font>
    <font>
      <b/>
      <sz val="18"/>
      <color rgb="FFFF0000"/>
      <name val="Calibri"/>
      <family val="2"/>
    </font>
    <font>
      <b/>
      <sz val="20"/>
      <color theme="1"/>
      <name val="Calibri"/>
      <family val="2"/>
    </font>
    <font>
      <b/>
      <sz val="12"/>
      <color rgb="FFFF0000"/>
      <name val="Calibri"/>
      <family val="2"/>
    </font>
    <font>
      <sz val="9"/>
      <color indexed="81"/>
      <name val="Tahoma"/>
      <family val="2"/>
    </font>
    <font>
      <sz val="10"/>
      <color indexed="81"/>
      <name val="Tahoma"/>
      <family val="2"/>
    </font>
    <font>
      <b/>
      <sz val="12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A86E8"/>
        <bgColor rgb="FF4A86E8"/>
      </patternFill>
    </fill>
    <fill>
      <patternFill patternType="solid">
        <fgColor rgb="FF1C4587"/>
        <bgColor rgb="FF1C4587"/>
      </patternFill>
    </fill>
    <fill>
      <patternFill patternType="solid">
        <fgColor rgb="FF00000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rgb="FF1C4587"/>
      </patternFill>
    </fill>
    <fill>
      <patternFill patternType="solid">
        <fgColor theme="9" tint="0.39997558519241921"/>
        <bgColor rgb="FF4A86E8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17" fillId="0" borderId="0"/>
    <xf numFmtId="166" fontId="17" fillId="0" borderId="0"/>
  </cellStyleXfs>
  <cellXfs count="175">
    <xf numFmtId="0" fontId="0" fillId="0" borderId="0" xfId="0"/>
    <xf numFmtId="0" fontId="0" fillId="7" borderId="1" xfId="0" applyFill="1" applyBorder="1" applyAlignment="1">
      <alignment horizontal="justify" vertical="center" wrapText="1"/>
    </xf>
    <xf numFmtId="0" fontId="0" fillId="6" borderId="1" xfId="0" applyFill="1" applyBorder="1" applyAlignment="1">
      <alignment horizontal="justify" vertical="center" wrapText="1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9" fontId="0" fillId="9" borderId="1" xfId="0" applyNumberFormat="1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4" fillId="10" borderId="1" xfId="0" applyFont="1" applyFill="1" applyBorder="1" applyAlignment="1">
      <alignment horizontal="center" vertical="center"/>
    </xf>
    <xf numFmtId="164" fontId="3" fillId="8" borderId="2" xfId="0" applyNumberFormat="1" applyFont="1" applyFill="1" applyBorder="1" applyAlignment="1">
      <alignment horizontal="center" vertical="center"/>
    </xf>
    <xf numFmtId="164" fontId="3" fillId="9" borderId="2" xfId="0" applyNumberFormat="1" applyFont="1" applyFill="1" applyBorder="1" applyAlignment="1">
      <alignment horizontal="center" vertical="center"/>
    </xf>
    <xf numFmtId="164" fontId="3" fillId="7" borderId="2" xfId="0" applyNumberFormat="1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center" vertical="center"/>
    </xf>
    <xf numFmtId="0" fontId="14" fillId="13" borderId="21" xfId="0" applyFont="1" applyFill="1" applyBorder="1" applyAlignment="1">
      <alignment horizontal="center" vertical="center" wrapText="1"/>
    </xf>
    <xf numFmtId="9" fontId="12" fillId="13" borderId="19" xfId="0" applyNumberFormat="1" applyFont="1" applyFill="1" applyBorder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17" fillId="0" borderId="0" xfId="1"/>
    <xf numFmtId="0" fontId="15" fillId="15" borderId="0" xfId="1" applyFont="1" applyFill="1" applyAlignment="1">
      <alignment horizontal="center" vertical="center"/>
    </xf>
    <xf numFmtId="0" fontId="7" fillId="13" borderId="22" xfId="1" applyFont="1" applyFill="1" applyBorder="1" applyAlignment="1">
      <alignment horizontal="center" vertical="center" wrapText="1"/>
    </xf>
    <xf numFmtId="0" fontId="8" fillId="13" borderId="22" xfId="1" applyFont="1" applyFill="1" applyBorder="1" applyAlignment="1">
      <alignment horizontal="center" vertical="center" wrapText="1"/>
    </xf>
    <xf numFmtId="0" fontId="8" fillId="13" borderId="22" xfId="1" applyFont="1" applyFill="1" applyBorder="1" applyAlignment="1">
      <alignment horizontal="left" vertical="center" wrapText="1"/>
    </xf>
    <xf numFmtId="0" fontId="3" fillId="0" borderId="22" xfId="1" applyFont="1" applyBorder="1" applyAlignment="1">
      <alignment horizontal="left" vertical="center" wrapText="1"/>
    </xf>
    <xf numFmtId="0" fontId="17" fillId="0" borderId="0" xfId="1" applyAlignment="1">
      <alignment vertical="center"/>
    </xf>
    <xf numFmtId="0" fontId="3" fillId="0" borderId="0" xfId="1" applyFont="1" applyAlignment="1">
      <alignment horizontal="left" vertical="center" wrapText="1"/>
    </xf>
    <xf numFmtId="0" fontId="15" fillId="15" borderId="27" xfId="1" applyFont="1" applyFill="1" applyBorder="1" applyAlignment="1">
      <alignment horizontal="center" vertical="center"/>
    </xf>
    <xf numFmtId="0" fontId="3" fillId="15" borderId="27" xfId="1" applyFont="1" applyFill="1" applyBorder="1"/>
    <xf numFmtId="0" fontId="3" fillId="15" borderId="28" xfId="1" applyFont="1" applyFill="1" applyBorder="1"/>
    <xf numFmtId="0" fontId="3" fillId="0" borderId="0" xfId="1" applyFont="1" applyAlignment="1">
      <alignment horizontal="left" vertical="center"/>
    </xf>
    <xf numFmtId="0" fontId="17" fillId="0" borderId="0" xfId="1" applyAlignment="1">
      <alignment horizontal="left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164" fontId="3" fillId="8" borderId="2" xfId="0" applyNumberFormat="1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164" fontId="3" fillId="9" borderId="2" xfId="0" applyNumberFormat="1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center" vertical="center"/>
      <protection locked="0"/>
    </xf>
    <xf numFmtId="164" fontId="3" fillId="7" borderId="2" xfId="0" applyNumberFormat="1" applyFont="1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164" fontId="3" fillId="6" borderId="2" xfId="0" applyNumberFormat="1" applyFont="1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vertical="center" wrapText="1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1" xfId="0" applyNumberFormat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9" fontId="6" fillId="11" borderId="4" xfId="0" applyNumberFormat="1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164" fontId="5" fillId="9" borderId="1" xfId="0" applyNumberFormat="1" applyFont="1" applyFill="1" applyBorder="1" applyAlignment="1">
      <alignment horizontal="center" vertical="center" wrapText="1"/>
    </xf>
    <xf numFmtId="164" fontId="5" fillId="7" borderId="1" xfId="0" applyNumberFormat="1" applyFont="1" applyFill="1" applyBorder="1" applyAlignment="1">
      <alignment horizontal="center" vertical="center" wrapText="1"/>
    </xf>
    <xf numFmtId="164" fontId="5" fillId="6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0" fillId="0" borderId="7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8" fillId="13" borderId="7" xfId="0" applyFont="1" applyFill="1" applyBorder="1" applyAlignment="1">
      <alignment horizontal="left" vertical="center" wrapText="1"/>
    </xf>
    <xf numFmtId="0" fontId="8" fillId="13" borderId="12" xfId="0" applyFont="1" applyFill="1" applyBorder="1" applyAlignment="1">
      <alignment horizontal="center" vertical="center" wrapText="1"/>
    </xf>
    <xf numFmtId="0" fontId="8" fillId="13" borderId="13" xfId="0" applyFont="1" applyFill="1" applyBorder="1" applyAlignment="1">
      <alignment horizontal="center" vertical="center" wrapText="1"/>
    </xf>
    <xf numFmtId="0" fontId="11" fillId="0" borderId="7" xfId="0" applyFont="1" applyBorder="1"/>
    <xf numFmtId="0" fontId="11" fillId="0" borderId="11" xfId="0" applyFont="1" applyBorder="1" applyAlignment="1">
      <alignment vertical="center"/>
    </xf>
    <xf numFmtId="0" fontId="4" fillId="0" borderId="0" xfId="0" applyFont="1" applyAlignment="1">
      <alignment horizontal="center"/>
    </xf>
    <xf numFmtId="2" fontId="0" fillId="0" borderId="34" xfId="0" applyNumberForma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2" fontId="0" fillId="0" borderId="5" xfId="0" applyNumberForma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164" fontId="3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4" fontId="3" fillId="16" borderId="1" xfId="0" applyNumberFormat="1" applyFont="1" applyFill="1" applyBorder="1" applyAlignment="1" applyProtection="1">
      <alignment horizontal="center" vertical="center"/>
      <protection locked="0"/>
    </xf>
    <xf numFmtId="9" fontId="12" fillId="13" borderId="19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22" xfId="0" applyFont="1" applyFill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22" xfId="0" applyFont="1" applyBorder="1" applyAlignment="1">
      <alignment vertical="center" wrapText="1"/>
    </xf>
    <xf numFmtId="0" fontId="8" fillId="13" borderId="22" xfId="0" applyFont="1" applyFill="1" applyBorder="1" applyAlignment="1">
      <alignment vertical="center" wrapText="1"/>
    </xf>
    <xf numFmtId="0" fontId="19" fillId="8" borderId="1" xfId="0" applyFont="1" applyFill="1" applyBorder="1" applyAlignment="1" applyProtection="1">
      <alignment horizontal="center" vertical="center"/>
      <protection locked="0"/>
    </xf>
    <xf numFmtId="9" fontId="19" fillId="9" borderId="1" xfId="0" applyNumberFormat="1" applyFont="1" applyFill="1" applyBorder="1" applyAlignment="1" applyProtection="1">
      <alignment horizontal="center" vertical="center"/>
      <protection locked="0"/>
    </xf>
    <xf numFmtId="0" fontId="19" fillId="7" borderId="1" xfId="0" applyFont="1" applyFill="1" applyBorder="1" applyAlignment="1" applyProtection="1">
      <alignment horizontal="center"/>
      <protection locked="0"/>
    </xf>
    <xf numFmtId="0" fontId="19" fillId="6" borderId="1" xfId="0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>
      <alignment horizontal="left" vertical="center" wrapText="1"/>
    </xf>
    <xf numFmtId="0" fontId="8" fillId="13" borderId="44" xfId="1" applyFont="1" applyFill="1" applyBorder="1" applyAlignment="1">
      <alignment horizontal="center" vertical="center" wrapText="1"/>
    </xf>
    <xf numFmtId="0" fontId="8" fillId="13" borderId="45" xfId="0" applyFont="1" applyFill="1" applyBorder="1" applyAlignment="1">
      <alignment horizontal="left" vertical="center" wrapText="1"/>
    </xf>
    <xf numFmtId="0" fontId="3" fillId="0" borderId="4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8" fillId="13" borderId="22" xfId="0" applyFont="1" applyFill="1" applyBorder="1" applyAlignment="1">
      <alignment vertical="top" wrapText="1"/>
    </xf>
    <xf numFmtId="0" fontId="3" fillId="0" borderId="22" xfId="0" applyFont="1" applyBorder="1" applyAlignment="1">
      <alignment vertical="top" wrapText="1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20" fillId="2" borderId="1" xfId="0" applyFont="1" applyFill="1" applyBorder="1" applyAlignment="1" applyProtection="1">
      <alignment horizontal="center" vertical="center" wrapText="1"/>
      <protection locked="0"/>
    </xf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Protection="1">
      <protection locked="0"/>
    </xf>
    <xf numFmtId="9" fontId="28" fillId="18" borderId="8" xfId="0" applyNumberFormat="1" applyFont="1" applyFill="1" applyBorder="1" applyAlignment="1" applyProtection="1">
      <alignment horizontal="center" vertical="center" wrapText="1"/>
      <protection locked="0"/>
    </xf>
    <xf numFmtId="2" fontId="3" fillId="0" borderId="1" xfId="0" applyNumberFormat="1" applyFont="1" applyBorder="1" applyAlignment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9" fontId="30" fillId="6" borderId="4" xfId="0" applyNumberFormat="1" applyFont="1" applyFill="1" applyBorder="1" applyAlignment="1">
      <alignment horizontal="center" vertical="center" wrapText="1"/>
    </xf>
    <xf numFmtId="0" fontId="1" fillId="5" borderId="34" xfId="0" applyFont="1" applyFill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0" borderId="7" xfId="0" applyBorder="1" applyAlignment="1" applyProtection="1">
      <alignment horizontal="left" vertical="center"/>
      <protection locked="0"/>
    </xf>
    <xf numFmtId="0" fontId="13" fillId="13" borderId="7" xfId="0" applyFont="1" applyFill="1" applyBorder="1" applyAlignment="1">
      <alignment horizontal="center" vertical="center" wrapText="1"/>
    </xf>
    <xf numFmtId="0" fontId="13" fillId="13" borderId="12" xfId="0" applyFont="1" applyFill="1" applyBorder="1" applyAlignment="1">
      <alignment horizontal="center" vertical="center" wrapText="1"/>
    </xf>
    <xf numFmtId="0" fontId="3" fillId="0" borderId="9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15" fillId="0" borderId="8" xfId="0" applyFont="1" applyBorder="1" applyAlignment="1" applyProtection="1">
      <alignment horizontal="center"/>
      <protection locked="0"/>
    </xf>
    <xf numFmtId="0" fontId="15" fillId="0" borderId="10" xfId="0" applyFont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13" fillId="17" borderId="7" xfId="0" applyFont="1" applyFill="1" applyBorder="1" applyAlignment="1" applyProtection="1">
      <alignment horizontal="center" vertical="center" wrapText="1"/>
      <protection locked="0"/>
    </xf>
    <xf numFmtId="0" fontId="13" fillId="14" borderId="16" xfId="0" applyFont="1" applyFill="1" applyBorder="1" applyAlignment="1">
      <alignment horizontal="center" vertical="center" wrapText="1"/>
    </xf>
    <xf numFmtId="0" fontId="13" fillId="14" borderId="17" xfId="0" applyFont="1" applyFill="1" applyBorder="1" applyAlignment="1">
      <alignment horizontal="center" vertical="center" wrapText="1"/>
    </xf>
    <xf numFmtId="0" fontId="13" fillId="14" borderId="0" xfId="0" applyFont="1" applyFill="1" applyAlignment="1">
      <alignment horizontal="center" vertical="center" wrapText="1"/>
    </xf>
    <xf numFmtId="0" fontId="13" fillId="14" borderId="18" xfId="0" applyFont="1" applyFill="1" applyBorder="1" applyAlignment="1">
      <alignment horizontal="center" vertical="center" wrapText="1"/>
    </xf>
    <xf numFmtId="0" fontId="13" fillId="14" borderId="14" xfId="0" applyFont="1" applyFill="1" applyBorder="1" applyAlignment="1">
      <alignment horizontal="center" vertical="center" wrapText="1"/>
    </xf>
    <xf numFmtId="0" fontId="13" fillId="14" borderId="20" xfId="0" applyFont="1" applyFill="1" applyBorder="1" applyAlignment="1">
      <alignment horizontal="center" vertical="center" wrapText="1"/>
    </xf>
    <xf numFmtId="0" fontId="25" fillId="5" borderId="2" xfId="0" applyFont="1" applyFill="1" applyBorder="1" applyAlignment="1">
      <alignment horizontal="center" vertical="center" wrapText="1"/>
    </xf>
    <xf numFmtId="0" fontId="25" fillId="5" borderId="6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0" fillId="0" borderId="38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39" xfId="0" applyBorder="1" applyAlignment="1" applyProtection="1">
      <alignment horizontal="left" vertical="top" wrapText="1"/>
      <protection locked="0"/>
    </xf>
    <xf numFmtId="0" fontId="0" fillId="0" borderId="40" xfId="0" applyBorder="1" applyAlignment="1" applyProtection="1">
      <alignment horizontal="left" vertical="top" wrapText="1"/>
      <protection locked="0"/>
    </xf>
    <xf numFmtId="0" fontId="0" fillId="0" borderId="41" xfId="0" applyBorder="1" applyAlignment="1" applyProtection="1">
      <alignment horizontal="left" vertical="top" wrapText="1"/>
      <protection locked="0"/>
    </xf>
    <xf numFmtId="0" fontId="0" fillId="0" borderId="42" xfId="0" applyBorder="1" applyAlignment="1" applyProtection="1">
      <alignment horizontal="left" vertical="top" wrapText="1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9" fillId="12" borderId="1" xfId="0" applyFont="1" applyFill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 vertical="center" wrapText="1"/>
    </xf>
    <xf numFmtId="0" fontId="10" fillId="5" borderId="6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22" fillId="0" borderId="35" xfId="0" applyFont="1" applyBorder="1" applyAlignment="1" applyProtection="1">
      <alignment horizontal="center" vertical="center" wrapText="1"/>
      <protection locked="0"/>
    </xf>
    <xf numFmtId="0" fontId="23" fillId="0" borderId="36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1" xfId="0" applyFont="1" applyBorder="1" applyAlignment="1">
      <alignment horizontal="center" vertical="center" wrapText="1"/>
    </xf>
    <xf numFmtId="0" fontId="23" fillId="0" borderId="42" xfId="0" applyFont="1" applyBorder="1" applyAlignment="1">
      <alignment horizontal="center" vertical="center" wrapText="1"/>
    </xf>
    <xf numFmtId="0" fontId="26" fillId="3" borderId="0" xfId="0" applyFont="1" applyFill="1" applyAlignment="1" applyProtection="1">
      <alignment horizontal="center"/>
      <protection locked="0"/>
    </xf>
    <xf numFmtId="0" fontId="14" fillId="3" borderId="0" xfId="0" applyFont="1" applyFill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18" fillId="5" borderId="2" xfId="0" applyFont="1" applyFill="1" applyBorder="1" applyAlignment="1">
      <alignment horizontal="center" vertical="center" wrapText="1"/>
    </xf>
    <xf numFmtId="0" fontId="18" fillId="5" borderId="6" xfId="0" applyFont="1" applyFill="1" applyBorder="1" applyAlignment="1">
      <alignment horizontal="center" vertical="center" wrapText="1"/>
    </xf>
    <xf numFmtId="0" fontId="7" fillId="14" borderId="26" xfId="1" applyFont="1" applyFill="1" applyBorder="1" applyAlignment="1">
      <alignment horizontal="center" vertical="center" wrapText="1"/>
    </xf>
    <xf numFmtId="0" fontId="3" fillId="0" borderId="27" xfId="1" applyFont="1" applyBorder="1"/>
    <xf numFmtId="0" fontId="3" fillId="0" borderId="28" xfId="1" applyFont="1" applyBorder="1"/>
    <xf numFmtId="0" fontId="3" fillId="0" borderId="29" xfId="1" applyFont="1" applyBorder="1"/>
    <xf numFmtId="0" fontId="17" fillId="0" borderId="0" xfId="1"/>
    <xf numFmtId="0" fontId="3" fillId="0" borderId="30" xfId="1" applyFont="1" applyBorder="1"/>
    <xf numFmtId="0" fontId="3" fillId="0" borderId="31" xfId="1" applyFont="1" applyBorder="1"/>
    <xf numFmtId="0" fontId="3" fillId="0" borderId="33" xfId="1" applyFont="1" applyBorder="1"/>
    <xf numFmtId="0" fontId="3" fillId="0" borderId="32" xfId="1" applyFon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justify" vertical="center" wrapText="1"/>
    </xf>
  </cellXfs>
  <cellStyles count="3">
    <cellStyle name="Excel Built-in Normal" xfId="2" xr:uid="{00000000-0005-0000-0000-000000000000}"/>
    <cellStyle name="Normal" xfId="0" builtinId="0"/>
    <cellStyle name="Normal 2" xfId="1" xr:uid="{00000000-0005-0000-0000-000003000000}"/>
  </cellStyles>
  <dxfs count="30">
    <dxf>
      <font>
        <color theme="0" tint="-0.34998626667073579"/>
      </font>
    </dxf>
    <dxf>
      <font>
        <color theme="0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206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rgb="FF002060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4" tint="-0.499984740745262"/>
      </font>
    </dxf>
    <dxf>
      <font>
        <color theme="8" tint="-0.24994659260841701"/>
      </font>
    </dxf>
    <dxf>
      <font>
        <color rgb="FF0194EF"/>
      </font>
    </dxf>
    <dxf>
      <font>
        <color rgb="FF0194EF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194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s-ES"/>
              <a:t>Behavior of students by performance levels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15836861388494"/>
          <c:y val="0.14909740449110528"/>
          <c:w val="0.72852136777921928"/>
          <c:h val="0.64533172936716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EF_ASESSM_SO_GENERIC!$E$56</c:f>
              <c:strCache>
                <c:ptCount val="1"/>
                <c:pt idx="0">
                  <c:v>Level 1 
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DE-4C6D-8606-0BF35BCB167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DE-4C6D-8606-0BF35BCB167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DE-4C6D-8606-0BF35BCB167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DE-4C6D-8606-0BF35BCB1678}"/>
            </c:ext>
          </c:extLst>
        </c:ser>
        <c:ser>
          <c:idx val="1"/>
          <c:order val="1"/>
          <c:tx>
            <c:strRef>
              <c:f>EF_ASESSM_SO_GENERIC!$F$56</c:f>
              <c:strCache>
                <c:ptCount val="1"/>
                <c:pt idx="0">
                  <c:v>Level 2
Inadequate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DE-4C6D-8606-0BF35BCB167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DE-4C6D-8606-0BF35BCB1678}"/>
            </c:ext>
          </c:extLst>
        </c:ser>
        <c:ser>
          <c:idx val="2"/>
          <c:order val="2"/>
          <c:tx>
            <c:strRef>
              <c:f>EF_ASESSM_SO_GENERIC!$G$56</c:f>
              <c:strCache>
                <c:ptCount val="1"/>
                <c:pt idx="0">
                  <c:v>Level 3
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DE-4C6D-8606-0BF35BCB1678}"/>
            </c:ext>
          </c:extLst>
        </c:ser>
        <c:ser>
          <c:idx val="3"/>
          <c:order val="3"/>
          <c:tx>
            <c:strRef>
              <c:f>EF_ASESSM_SO_GENERIC!$H$56</c:f>
              <c:strCache>
                <c:ptCount val="1"/>
                <c:pt idx="0">
                  <c:v>Level 4
Exemplary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DE-4C6D-8606-0BF35BCB1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1103392"/>
        <c:axId val="1"/>
      </c:barChart>
      <c:catAx>
        <c:axId val="261103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 Indicators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% of students at each performance level</a:t>
                </a:r>
              </a:p>
            </c:rich>
          </c:tx>
          <c:layout>
            <c:manualLayout>
              <c:xMode val="edge"/>
              <c:yMode val="edge"/>
              <c:x val="1.9444318597114374E-2"/>
              <c:y val="0.12416666666666666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2611033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124283802844542"/>
          <c:y val="0.17524205307669874"/>
          <c:w val="0.18751006526945924"/>
          <c:h val="0.64033792650918642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05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38100</xdr:rowOff>
        </xdr:from>
        <xdr:to>
          <xdr:col>4</xdr:col>
          <xdr:colOff>104775</xdr:colOff>
          <xdr:row>2</xdr:row>
          <xdr:rowOff>114300</xdr:rowOff>
        </xdr:to>
        <xdr:sp macro="" textlink="">
          <xdr:nvSpPr>
            <xdr:cNvPr id="4097" name="Mostrar_Rúbrica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108346</xdr:colOff>
      <xdr:row>2</xdr:row>
      <xdr:rowOff>185905</xdr:rowOff>
    </xdr:from>
    <xdr:to>
      <xdr:col>6</xdr:col>
      <xdr:colOff>613905</xdr:colOff>
      <xdr:row>14</xdr:row>
      <xdr:rowOff>41672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76674" y="566905"/>
          <a:ext cx="2791559" cy="2141767"/>
        </a:xfrm>
        <a:prstGeom prst="roundRect">
          <a:avLst>
            <a:gd name="adj" fmla="val 3402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2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200">
              <a:solidFill>
                <a:sysClr val="windowText" lastClr="000000"/>
              </a:solidFill>
            </a:rPr>
            <a:t>Copy and</a:t>
          </a:r>
          <a:r>
            <a:rPr lang="es-CO" sz="1200" baseline="0">
              <a:solidFill>
                <a:sysClr val="windowText" lastClr="000000"/>
              </a:solidFill>
            </a:rPr>
            <a:t> paste the students' list from Academusoft Software. (You can also enter the information manually)</a:t>
          </a:r>
        </a:p>
        <a:p>
          <a:pPr algn="l"/>
          <a:endParaRPr lang="es-CO" sz="1200">
            <a:solidFill>
              <a:sysClr val="windowText" lastClr="000000"/>
            </a:solidFill>
          </a:endParaRPr>
        </a:p>
        <a:p>
          <a:r>
            <a:rPr lang="es-CO" sz="1200" b="1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INSTRUCCIONES:</a:t>
          </a:r>
        </a:p>
        <a:p>
          <a:r>
            <a:rPr lang="es-CO" sz="1200" b="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Copie y pegue la lista de estudiantes del listado que se descarga desde Academusoft. (También puede ingresar la información manualmente)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2800350</xdr:colOff>
          <xdr:row>8</xdr:row>
          <xdr:rowOff>1400175</xdr:rowOff>
        </xdr:from>
        <xdr:to>
          <xdr:col>3</xdr:col>
          <xdr:colOff>38100</xdr:colOff>
          <xdr:row>9</xdr:row>
          <xdr:rowOff>76200</xdr:rowOff>
        </xdr:to>
        <xdr:sp macro="" textlink="">
          <xdr:nvSpPr>
            <xdr:cNvPr id="2049" name="Option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2800350</xdr:colOff>
          <xdr:row>8</xdr:row>
          <xdr:rowOff>1390650</xdr:rowOff>
        </xdr:from>
        <xdr:to>
          <xdr:col>4</xdr:col>
          <xdr:colOff>28575</xdr:colOff>
          <xdr:row>9</xdr:row>
          <xdr:rowOff>66675</xdr:rowOff>
        </xdr:to>
        <xdr:sp macro="" textlink="">
          <xdr:nvSpPr>
            <xdr:cNvPr id="2050" name="Option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2809875</xdr:colOff>
          <xdr:row>8</xdr:row>
          <xdr:rowOff>1400175</xdr:rowOff>
        </xdr:from>
        <xdr:to>
          <xdr:col>5</xdr:col>
          <xdr:colOff>38100</xdr:colOff>
          <xdr:row>9</xdr:row>
          <xdr:rowOff>76200</xdr:rowOff>
        </xdr:to>
        <xdr:sp macro="" textlink="">
          <xdr:nvSpPr>
            <xdr:cNvPr id="2051" name="Option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2809875</xdr:colOff>
          <xdr:row>8</xdr:row>
          <xdr:rowOff>1390650</xdr:rowOff>
        </xdr:from>
        <xdr:to>
          <xdr:col>6</xdr:col>
          <xdr:colOff>28575</xdr:colOff>
          <xdr:row>9</xdr:row>
          <xdr:rowOff>66675</xdr:rowOff>
        </xdr:to>
        <xdr:sp macro="" textlink="">
          <xdr:nvSpPr>
            <xdr:cNvPr id="2052" name="Option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9</xdr:row>
          <xdr:rowOff>1400175</xdr:rowOff>
        </xdr:from>
        <xdr:to>
          <xdr:col>3</xdr:col>
          <xdr:colOff>38100</xdr:colOff>
          <xdr:row>10</xdr:row>
          <xdr:rowOff>76200</xdr:rowOff>
        </xdr:to>
        <xdr:sp macro="" textlink="">
          <xdr:nvSpPr>
            <xdr:cNvPr id="2053" name="Option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9</xdr:row>
          <xdr:rowOff>1390650</xdr:rowOff>
        </xdr:from>
        <xdr:to>
          <xdr:col>4</xdr:col>
          <xdr:colOff>28575</xdr:colOff>
          <xdr:row>10</xdr:row>
          <xdr:rowOff>66675</xdr:rowOff>
        </xdr:to>
        <xdr:sp macro="" textlink="">
          <xdr:nvSpPr>
            <xdr:cNvPr id="2054" name="OptionButton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9</xdr:row>
          <xdr:rowOff>1400175</xdr:rowOff>
        </xdr:from>
        <xdr:to>
          <xdr:col>5</xdr:col>
          <xdr:colOff>38100</xdr:colOff>
          <xdr:row>10</xdr:row>
          <xdr:rowOff>76200</xdr:rowOff>
        </xdr:to>
        <xdr:sp macro="" textlink="">
          <xdr:nvSpPr>
            <xdr:cNvPr id="2055" name="OptionButton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9</xdr:row>
          <xdr:rowOff>1390650</xdr:rowOff>
        </xdr:from>
        <xdr:to>
          <xdr:col>6</xdr:col>
          <xdr:colOff>28575</xdr:colOff>
          <xdr:row>10</xdr:row>
          <xdr:rowOff>66675</xdr:rowOff>
        </xdr:to>
        <xdr:sp macro="" textlink="">
          <xdr:nvSpPr>
            <xdr:cNvPr id="2056" name="OptionButton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10</xdr:row>
          <xdr:rowOff>1400175</xdr:rowOff>
        </xdr:from>
        <xdr:to>
          <xdr:col>3</xdr:col>
          <xdr:colOff>28575</xdr:colOff>
          <xdr:row>11</xdr:row>
          <xdr:rowOff>76200</xdr:rowOff>
        </xdr:to>
        <xdr:sp macro="" textlink="">
          <xdr:nvSpPr>
            <xdr:cNvPr id="2057" name="OptionButton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10</xdr:row>
          <xdr:rowOff>1390650</xdr:rowOff>
        </xdr:from>
        <xdr:to>
          <xdr:col>4</xdr:col>
          <xdr:colOff>19050</xdr:colOff>
          <xdr:row>11</xdr:row>
          <xdr:rowOff>66675</xdr:rowOff>
        </xdr:to>
        <xdr:sp macro="" textlink="">
          <xdr:nvSpPr>
            <xdr:cNvPr id="2058" name="OptionButton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10</xdr:row>
          <xdr:rowOff>1400175</xdr:rowOff>
        </xdr:from>
        <xdr:to>
          <xdr:col>5</xdr:col>
          <xdr:colOff>28575</xdr:colOff>
          <xdr:row>11</xdr:row>
          <xdr:rowOff>76200</xdr:rowOff>
        </xdr:to>
        <xdr:sp macro="" textlink="">
          <xdr:nvSpPr>
            <xdr:cNvPr id="2059" name="OptionButton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10</xdr:row>
          <xdr:rowOff>1390650</xdr:rowOff>
        </xdr:from>
        <xdr:to>
          <xdr:col>6</xdr:col>
          <xdr:colOff>19050</xdr:colOff>
          <xdr:row>11</xdr:row>
          <xdr:rowOff>66675</xdr:rowOff>
        </xdr:to>
        <xdr:sp macro="" textlink="">
          <xdr:nvSpPr>
            <xdr:cNvPr id="2060" name="OptionButton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11</xdr:row>
          <xdr:rowOff>1400175</xdr:rowOff>
        </xdr:from>
        <xdr:to>
          <xdr:col>3</xdr:col>
          <xdr:colOff>38100</xdr:colOff>
          <xdr:row>12</xdr:row>
          <xdr:rowOff>85725</xdr:rowOff>
        </xdr:to>
        <xdr:sp macro="" textlink="">
          <xdr:nvSpPr>
            <xdr:cNvPr id="2061" name="OptionButton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11</xdr:row>
          <xdr:rowOff>1390650</xdr:rowOff>
        </xdr:from>
        <xdr:to>
          <xdr:col>4</xdr:col>
          <xdr:colOff>28575</xdr:colOff>
          <xdr:row>12</xdr:row>
          <xdr:rowOff>76200</xdr:rowOff>
        </xdr:to>
        <xdr:sp macro="" textlink="">
          <xdr:nvSpPr>
            <xdr:cNvPr id="2062" name="OptionButton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11</xdr:row>
          <xdr:rowOff>1400175</xdr:rowOff>
        </xdr:from>
        <xdr:to>
          <xdr:col>5</xdr:col>
          <xdr:colOff>38100</xdr:colOff>
          <xdr:row>12</xdr:row>
          <xdr:rowOff>85725</xdr:rowOff>
        </xdr:to>
        <xdr:sp macro="" textlink="">
          <xdr:nvSpPr>
            <xdr:cNvPr id="2063" name="OptionButton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11</xdr:row>
          <xdr:rowOff>1390650</xdr:rowOff>
        </xdr:from>
        <xdr:to>
          <xdr:col>6</xdr:col>
          <xdr:colOff>28575</xdr:colOff>
          <xdr:row>12</xdr:row>
          <xdr:rowOff>76200</xdr:rowOff>
        </xdr:to>
        <xdr:sp macro="" textlink="">
          <xdr:nvSpPr>
            <xdr:cNvPr id="2064" name="OptionButton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161773</xdr:colOff>
      <xdr:row>0</xdr:row>
      <xdr:rowOff>9072</xdr:rowOff>
    </xdr:from>
    <xdr:to>
      <xdr:col>0</xdr:col>
      <xdr:colOff>3273273</xdr:colOff>
      <xdr:row>1</xdr:row>
      <xdr:rowOff>258536</xdr:rowOff>
    </xdr:to>
    <xdr:sp macro="" textlink="">
      <xdr:nvSpPr>
        <xdr:cNvPr id="18" name="Pentágono 17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1773" y="9072"/>
          <a:ext cx="3111500" cy="548821"/>
        </a:xfrm>
        <a:prstGeom prst="homePlat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Select</a:t>
          </a:r>
          <a:r>
            <a:rPr lang="es-CO" sz="1100" baseline="0">
              <a:solidFill>
                <a:sysClr val="windowText" lastClr="000000"/>
              </a:solidFill>
            </a:rPr>
            <a:t> the Student Outcome to evaluate</a:t>
          </a:r>
        </a:p>
        <a:p>
          <a:pPr algn="l"/>
          <a:r>
            <a:rPr lang="es-CO" sz="1100" i="1" baseline="0">
              <a:solidFill>
                <a:sysClr val="windowText" lastClr="000000"/>
              </a:solidFill>
            </a:rPr>
            <a:t>Seleccione el Student Outcome a evaluar</a:t>
          </a:r>
          <a:endParaRPr lang="es-CO" sz="1100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19050</xdr:rowOff>
        </xdr:from>
        <xdr:to>
          <xdr:col>6</xdr:col>
          <xdr:colOff>952500</xdr:colOff>
          <xdr:row>1</xdr:row>
          <xdr:rowOff>247650</xdr:rowOff>
        </xdr:to>
        <xdr:sp macro="" textlink="">
          <xdr:nvSpPr>
            <xdr:cNvPr id="2065" name="Ocultar_Instrucciones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0</xdr:row>
          <xdr:rowOff>19050</xdr:rowOff>
        </xdr:from>
        <xdr:to>
          <xdr:col>7</xdr:col>
          <xdr:colOff>0</xdr:colOff>
          <xdr:row>1</xdr:row>
          <xdr:rowOff>247650</xdr:rowOff>
        </xdr:to>
        <xdr:sp macro="" textlink="">
          <xdr:nvSpPr>
            <xdr:cNvPr id="2066" name="Mostrar_Instruccion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8</xdr:row>
          <xdr:rowOff>1181100</xdr:rowOff>
        </xdr:from>
        <xdr:to>
          <xdr:col>6</xdr:col>
          <xdr:colOff>1933575</xdr:colOff>
          <xdr:row>9</xdr:row>
          <xdr:rowOff>142875</xdr:rowOff>
        </xdr:to>
        <xdr:sp macro="" textlink="">
          <xdr:nvSpPr>
            <xdr:cNvPr id="2068" name="Limpiar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238125</xdr:rowOff>
        </xdr:from>
        <xdr:to>
          <xdr:col>6</xdr:col>
          <xdr:colOff>1924050</xdr:colOff>
          <xdr:row>8</xdr:row>
          <xdr:rowOff>514350</xdr:rowOff>
        </xdr:to>
        <xdr:sp macro="" textlink="">
          <xdr:nvSpPr>
            <xdr:cNvPr id="2070" name="Copiar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</xdr:row>
          <xdr:rowOff>247650</xdr:rowOff>
        </xdr:from>
        <xdr:to>
          <xdr:col>6</xdr:col>
          <xdr:colOff>1924050</xdr:colOff>
          <xdr:row>7</xdr:row>
          <xdr:rowOff>209550</xdr:rowOff>
        </xdr:to>
        <xdr:sp macro="" textlink="">
          <xdr:nvSpPr>
            <xdr:cNvPr id="2074" name="Regist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2080190</xdr:colOff>
      <xdr:row>1</xdr:row>
      <xdr:rowOff>200706</xdr:rowOff>
    </xdr:from>
    <xdr:to>
      <xdr:col>5</xdr:col>
      <xdr:colOff>2639784</xdr:colOff>
      <xdr:row>4</xdr:row>
      <xdr:rowOff>44225</xdr:rowOff>
    </xdr:to>
    <xdr:sp macro="" textlink="">
      <xdr:nvSpPr>
        <xdr:cNvPr id="3" name="Recortar rectángulo de esquina diagonal 2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421619" y="500063"/>
          <a:ext cx="3498736" cy="632733"/>
        </a:xfrm>
        <a:prstGeom prst="snip2Diag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the Student's name</a:t>
          </a:r>
        </a:p>
        <a:p>
          <a:pPr algn="l"/>
          <a:r>
            <a:rPr lang="es-CO" sz="11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Seleccione el nombre del estudiante </a:t>
          </a:r>
        </a:p>
      </xdr:txBody>
    </xdr:sp>
    <xdr:clientData/>
  </xdr:twoCellAnchor>
  <xdr:twoCellAnchor>
    <xdr:from>
      <xdr:col>2</xdr:col>
      <xdr:colOff>115661</xdr:colOff>
      <xdr:row>13</xdr:row>
      <xdr:rowOff>1265805</xdr:rowOff>
    </xdr:from>
    <xdr:to>
      <xdr:col>6</xdr:col>
      <xdr:colOff>417741</xdr:colOff>
      <xdr:row>64</xdr:row>
      <xdr:rowOff>179614</xdr:rowOff>
    </xdr:to>
    <xdr:sp macro="" textlink="">
      <xdr:nvSpPr>
        <xdr:cNvPr id="2" name="Rectángulo redondeado 1" hidden="1">
          <a:extLst>
            <a:ext uri="{FF2B5EF4-FFF2-40B4-BE49-F238E27FC236}">
              <a16:creationId xmlns:a16="http://schemas.microsoft.com/office/drawing/2014/main" id="{00000000-0008-0000-0100-0000020000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SpPr/>
      </xdr:nvSpPr>
      <xdr:spPr>
        <a:xfrm>
          <a:off x="4573361" y="11352780"/>
          <a:ext cx="12074980" cy="10143784"/>
        </a:xfrm>
        <a:prstGeom prst="roundRect">
          <a:avLst>
            <a:gd name="adj" fmla="val 3402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Read all the instructions, then press "Hide Instructions" to start the assessment. If you need to review the instructions again, press "Show Instructions"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1. Select the Student Outcome to evaluate (Display the list)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2. Fill in the % of each "Performance Indicator". Remember the total sum must be 100%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3. Set the score</a:t>
          </a:r>
          <a:r>
            <a:rPr lang="es-CO" sz="1600" b="0" baseline="0">
              <a:solidFill>
                <a:sysClr val="windowText" lastClr="000000"/>
              </a:solidFill>
            </a:rPr>
            <a:t> levels</a:t>
          </a:r>
          <a:endParaRPr lang="es-CO" sz="1600" b="0">
            <a:solidFill>
              <a:sysClr val="windowText" lastClr="000000"/>
            </a:solidFill>
          </a:endParaRP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4. Select the</a:t>
          </a:r>
          <a:r>
            <a:rPr lang="es-CO" sz="1600" b="0" baseline="0">
              <a:solidFill>
                <a:sysClr val="windowText" lastClr="000000"/>
              </a:solidFill>
            </a:rPr>
            <a:t> Student's name. (Display the list)</a:t>
          </a:r>
          <a:endParaRPr lang="es-CO" sz="1600" b="0">
            <a:solidFill>
              <a:sysClr val="windowText" lastClr="000000"/>
            </a:solidFill>
          </a:endParaRP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5. Press the "Register" Botton to record the information in the Data_Assessment Report</a:t>
          </a:r>
        </a:p>
        <a:p>
          <a:pPr algn="l"/>
          <a:r>
            <a:rPr lang="es-CO" sz="1600" b="0" baseline="0">
              <a:solidFill>
                <a:sysClr val="windowText" lastClr="000000"/>
              </a:solidFill>
            </a:rPr>
            <a:t>6. You can:</a:t>
          </a:r>
        </a:p>
        <a:p>
          <a:pPr algn="l"/>
          <a:r>
            <a:rPr lang="es-CO" sz="1600" b="0" baseline="0">
              <a:solidFill>
                <a:sysClr val="windowText" lastClr="000000"/>
              </a:solidFill>
            </a:rPr>
            <a:t>*</a:t>
          </a:r>
          <a:r>
            <a:rPr lang="es-CO" sz="1600" b="0">
              <a:solidFill>
                <a:sysClr val="windowText" lastClr="000000"/>
              </a:solidFill>
            </a:rPr>
            <a:t>Press the "Copy" Botton to copy the result of the </a:t>
          </a:r>
          <a:r>
            <a:rPr lang="es-CO" sz="16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assessment as image </a:t>
          </a:r>
          <a:r>
            <a:rPr lang="es-CO" sz="1600" b="0">
              <a:solidFill>
                <a:sysClr val="windowText" lastClr="000000"/>
              </a:solidFill>
            </a:rPr>
            <a:t>, and use it to send to the student.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b="0">
              <a:solidFill>
                <a:sysClr val="windowText" lastClr="000000"/>
              </a:solidFill>
            </a:rPr>
            <a:t>*Press the "</a:t>
          </a:r>
          <a:r>
            <a:rPr lang="es-CO" sz="1600" b="0" baseline="0">
              <a:solidFill>
                <a:sysClr val="windowText" lastClr="000000"/>
              </a:solidFill>
            </a:rPr>
            <a:t>PDF" Botton to save the result of the assessment as a PDF </a:t>
          </a:r>
          <a:r>
            <a:rPr lang="es-CO" sz="16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file, and use it to send to the student. 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7. Press the "Clean" Botton to start a new student's assessment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8. When</a:t>
          </a:r>
          <a:r>
            <a:rPr lang="es-CO" sz="1600" b="0" baseline="0">
              <a:solidFill>
                <a:sysClr val="windowText" lastClr="000000"/>
              </a:solidFill>
            </a:rPr>
            <a:t> you register the assessment of all students, p</a:t>
          </a:r>
          <a:r>
            <a:rPr lang="es-CO" sz="1600" b="0">
              <a:solidFill>
                <a:sysClr val="windowText" lastClr="000000"/>
              </a:solidFill>
            </a:rPr>
            <a:t>ress the "Finish Registration" botton to continue with the report.</a:t>
          </a:r>
        </a:p>
        <a:p>
          <a:pPr algn="l"/>
          <a:endParaRPr lang="es-CO" sz="1600">
            <a:solidFill>
              <a:sysClr val="windowText" lastClr="000000"/>
            </a:solidFill>
          </a:endParaRPr>
        </a:p>
        <a:p>
          <a:r>
            <a:rPr lang="es-CO" sz="1600" b="1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INSTRUCCIONES:</a:t>
          </a:r>
        </a:p>
        <a:p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Lea todas las instrucciones, presione el botón "Hide Instructions" para iniciar la medición, si requiere revisar nuevamente las instrucciones, presióne el botón "Show Instructions".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 Seleccione el Student Outcome a evaluar (Despliegue el listado)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2. Indique el porcentaje de cada Indicador de Desempeño. Recuerde que la suma total debe ser de 100%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3. Establezca los niveles de calificación.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 Seleccione el nombre del estudiante (Despliegue el listado)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5. Presione el botón "Register" para guardar la información en el reporte de Data_Assessment.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6. Puede: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 Presione el botón "Copy" si desea copiar el resultado de la medición como imagen, el cual  puede usarlo como realimentación al estudiante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b="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 Presione el botón "PDF" si desea guardar el resultado de la medición en un archivo PDF, el cual puede usarlo como realimentación al estudiante.</a:t>
          </a:r>
          <a:endParaRPr lang="es-CO" sz="1600" i="1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7. Presione el botón "Clean" para iniciar una nueva medición.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8. Cuando registre la calificación de todos los estudiantes, presione el boton "Finish Registration" para continuar con el informe.</a:t>
          </a:r>
        </a:p>
        <a:p>
          <a:pPr algn="l"/>
          <a:endParaRPr lang="es-CO" sz="1600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</xdr:row>
          <xdr:rowOff>561975</xdr:rowOff>
        </xdr:from>
        <xdr:to>
          <xdr:col>6</xdr:col>
          <xdr:colOff>1933575</xdr:colOff>
          <xdr:row>8</xdr:row>
          <xdr:rowOff>1133475</xdr:rowOff>
        </xdr:to>
        <xdr:sp macro="" textlink="">
          <xdr:nvSpPr>
            <xdr:cNvPr id="2076" name="PDF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</xdr:row>
          <xdr:rowOff>609600</xdr:rowOff>
        </xdr:from>
        <xdr:to>
          <xdr:col>7</xdr:col>
          <xdr:colOff>0</xdr:colOff>
          <xdr:row>10</xdr:row>
          <xdr:rowOff>409575</xdr:rowOff>
        </xdr:to>
        <xdr:sp macro="" textlink="">
          <xdr:nvSpPr>
            <xdr:cNvPr id="2078" name="Finalizar_Registr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2790825</xdr:colOff>
          <xdr:row>12</xdr:row>
          <xdr:rowOff>1390650</xdr:rowOff>
        </xdr:from>
        <xdr:to>
          <xdr:col>3</xdr:col>
          <xdr:colOff>28575</xdr:colOff>
          <xdr:row>13</xdr:row>
          <xdr:rowOff>76200</xdr:rowOff>
        </xdr:to>
        <xdr:sp macro="" textlink="">
          <xdr:nvSpPr>
            <xdr:cNvPr id="2082" name="OptionButton17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2790825</xdr:colOff>
          <xdr:row>12</xdr:row>
          <xdr:rowOff>1381125</xdr:rowOff>
        </xdr:from>
        <xdr:to>
          <xdr:col>4</xdr:col>
          <xdr:colOff>19050</xdr:colOff>
          <xdr:row>13</xdr:row>
          <xdr:rowOff>66675</xdr:rowOff>
        </xdr:to>
        <xdr:sp macro="" textlink="">
          <xdr:nvSpPr>
            <xdr:cNvPr id="2083" name="OptionButton18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2800350</xdr:colOff>
          <xdr:row>12</xdr:row>
          <xdr:rowOff>1390650</xdr:rowOff>
        </xdr:from>
        <xdr:to>
          <xdr:col>5</xdr:col>
          <xdr:colOff>28575</xdr:colOff>
          <xdr:row>13</xdr:row>
          <xdr:rowOff>76200</xdr:rowOff>
        </xdr:to>
        <xdr:sp macro="" textlink="">
          <xdr:nvSpPr>
            <xdr:cNvPr id="2084" name="OptionButton19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2800350</xdr:colOff>
          <xdr:row>12</xdr:row>
          <xdr:rowOff>1381125</xdr:rowOff>
        </xdr:from>
        <xdr:to>
          <xdr:col>6</xdr:col>
          <xdr:colOff>19050</xdr:colOff>
          <xdr:row>13</xdr:row>
          <xdr:rowOff>66675</xdr:rowOff>
        </xdr:to>
        <xdr:sp macro="" textlink="">
          <xdr:nvSpPr>
            <xdr:cNvPr id="2085" name="OptionButton20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2790825</xdr:colOff>
          <xdr:row>13</xdr:row>
          <xdr:rowOff>1390650</xdr:rowOff>
        </xdr:from>
        <xdr:to>
          <xdr:col>3</xdr:col>
          <xdr:colOff>28575</xdr:colOff>
          <xdr:row>14</xdr:row>
          <xdr:rowOff>76200</xdr:rowOff>
        </xdr:to>
        <xdr:sp macro="" textlink="">
          <xdr:nvSpPr>
            <xdr:cNvPr id="2086" name="OptionButton21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2790825</xdr:colOff>
          <xdr:row>13</xdr:row>
          <xdr:rowOff>1381125</xdr:rowOff>
        </xdr:from>
        <xdr:to>
          <xdr:col>4</xdr:col>
          <xdr:colOff>19050</xdr:colOff>
          <xdr:row>14</xdr:row>
          <xdr:rowOff>66675</xdr:rowOff>
        </xdr:to>
        <xdr:sp macro="" textlink="">
          <xdr:nvSpPr>
            <xdr:cNvPr id="2087" name="OptionButton22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2800350</xdr:colOff>
          <xdr:row>13</xdr:row>
          <xdr:rowOff>1390650</xdr:rowOff>
        </xdr:from>
        <xdr:to>
          <xdr:col>5</xdr:col>
          <xdr:colOff>28575</xdr:colOff>
          <xdr:row>14</xdr:row>
          <xdr:rowOff>76200</xdr:rowOff>
        </xdr:to>
        <xdr:sp macro="" textlink="">
          <xdr:nvSpPr>
            <xdr:cNvPr id="2088" name="OptionButton23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2800350</xdr:colOff>
          <xdr:row>13</xdr:row>
          <xdr:rowOff>1381125</xdr:rowOff>
        </xdr:from>
        <xdr:to>
          <xdr:col>6</xdr:col>
          <xdr:colOff>19050</xdr:colOff>
          <xdr:row>14</xdr:row>
          <xdr:rowOff>66675</xdr:rowOff>
        </xdr:to>
        <xdr:sp macro="" textlink="">
          <xdr:nvSpPr>
            <xdr:cNvPr id="2089" name="OptionButton24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11206</xdr:colOff>
      <xdr:row>53</xdr:row>
      <xdr:rowOff>179293</xdr:rowOff>
    </xdr:from>
    <xdr:to>
      <xdr:col>25</xdr:col>
      <xdr:colOff>0</xdr:colOff>
      <xdr:row>66</xdr:row>
      <xdr:rowOff>168086</xdr:rowOff>
    </xdr:to>
    <xdr:graphicFrame macro="">
      <xdr:nvGraphicFramePr>
        <xdr:cNvPr id="27844" name="Gráfico 7">
          <a:extLst>
            <a:ext uri="{FF2B5EF4-FFF2-40B4-BE49-F238E27FC236}">
              <a16:creationId xmlns:a16="http://schemas.microsoft.com/office/drawing/2014/main" id="{00000000-0008-0000-0200-0000C46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9</xdr:row>
      <xdr:rowOff>38099</xdr:rowOff>
    </xdr:from>
    <xdr:to>
      <xdr:col>3</xdr:col>
      <xdr:colOff>1438275</xdr:colOff>
      <xdr:row>11</xdr:row>
      <xdr:rowOff>1362075</xdr:rowOff>
    </xdr:to>
    <xdr:sp macro="" textlink="">
      <xdr:nvSpPr>
        <xdr:cNvPr id="4" name="Rectángulo redondeado 3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9075" y="2085974"/>
          <a:ext cx="3114675" cy="1609726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Fill in the general information</a:t>
          </a:r>
          <a:r>
            <a:rPr lang="es-CO" sz="1000" b="0" baseline="0">
              <a:solidFill>
                <a:sysClr val="windowText" lastClr="000000"/>
              </a:solidFill>
            </a:rPr>
            <a:t> required: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Course: Code: Full Name of the subject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Group: Group's Name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Professor: Your Full Name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Period: The Academic Period of the measurement.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1504950</xdr:colOff>
      <xdr:row>9</xdr:row>
      <xdr:rowOff>37234</xdr:rowOff>
    </xdr:from>
    <xdr:to>
      <xdr:col>6</xdr:col>
      <xdr:colOff>523875</xdr:colOff>
      <xdr:row>11</xdr:row>
      <xdr:rowOff>1361210</xdr:rowOff>
    </xdr:to>
    <xdr:sp macro="" textlink="">
      <xdr:nvSpPr>
        <xdr:cNvPr id="5" name="Rectángulo redondeado 4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398744" y="2289616"/>
          <a:ext cx="3109072" cy="161532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Diligencie la información</a:t>
          </a:r>
          <a:r>
            <a:rPr lang="es-CO" sz="1000" b="0" baseline="0">
              <a:solidFill>
                <a:sysClr val="windowText" lastClr="000000"/>
              </a:solidFill>
            </a:rPr>
            <a:t> general requerida :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Course: Código de la Materia: Nombre completo de la materia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Group: Grupo de la Materia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Professor: Su nombre completo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Periodo: Periodo Académico de medición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38100</xdr:rowOff>
        </xdr:from>
        <xdr:to>
          <xdr:col>6</xdr:col>
          <xdr:colOff>381000</xdr:colOff>
          <xdr:row>4</xdr:row>
          <xdr:rowOff>142875</xdr:rowOff>
        </xdr:to>
        <xdr:sp macro="" textlink="">
          <xdr:nvSpPr>
            <xdr:cNvPr id="1025" name="Ocultar_Instruccion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</xdr:row>
          <xdr:rowOff>228600</xdr:rowOff>
        </xdr:from>
        <xdr:to>
          <xdr:col>6</xdr:col>
          <xdr:colOff>361950</xdr:colOff>
          <xdr:row>5</xdr:row>
          <xdr:rowOff>171450</xdr:rowOff>
        </xdr:to>
        <xdr:sp macro="" textlink="">
          <xdr:nvSpPr>
            <xdr:cNvPr id="1026" name="Mostrar_Instruccion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649941</xdr:colOff>
      <xdr:row>70</xdr:row>
      <xdr:rowOff>127748</xdr:rowOff>
    </xdr:from>
    <xdr:to>
      <xdr:col>11</xdr:col>
      <xdr:colOff>70036</xdr:colOff>
      <xdr:row>75</xdr:row>
      <xdr:rowOff>123827</xdr:rowOff>
    </xdr:to>
    <xdr:sp macro="" textlink="">
      <xdr:nvSpPr>
        <xdr:cNvPr id="8" name="Rectángulo redondeado 7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418294" y="15502219"/>
          <a:ext cx="2075889" cy="94857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Carry out an analysis</a:t>
          </a:r>
          <a:r>
            <a:rPr lang="es-CO" sz="1000" b="0" baseline="0">
              <a:solidFill>
                <a:sysClr val="windowText" lastClr="000000"/>
              </a:solidFill>
            </a:rPr>
            <a:t> according to the results. This analysis should be according to each Perfomance Indicator.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174812</xdr:colOff>
      <xdr:row>70</xdr:row>
      <xdr:rowOff>112059</xdr:rowOff>
    </xdr:from>
    <xdr:to>
      <xdr:col>14</xdr:col>
      <xdr:colOff>289672</xdr:colOff>
      <xdr:row>75</xdr:row>
      <xdr:rowOff>108138</xdr:rowOff>
    </xdr:to>
    <xdr:sp macro="" textlink="">
      <xdr:nvSpPr>
        <xdr:cNvPr id="9" name="Rectángulo redondeado 8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9598959" y="15486530"/>
          <a:ext cx="2075889" cy="94857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INSTRUCCIONES: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Realice un análisis según los resultados</a:t>
          </a:r>
          <a:r>
            <a:rPr lang="es-CO" sz="1000" b="0" baseline="0">
              <a:solidFill>
                <a:sysClr val="windowText" lastClr="000000"/>
              </a:solidFill>
            </a:rPr>
            <a:t> de la medición</a:t>
          </a:r>
          <a:r>
            <a:rPr lang="es-CO" sz="1000" b="0">
              <a:solidFill>
                <a:sysClr val="windowText" lastClr="000000"/>
              </a:solidFill>
            </a:rPr>
            <a:t>. Este análisis debe estar de acuerdo con cada indicador de rendimiento.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9525</xdr:rowOff>
        </xdr:from>
        <xdr:to>
          <xdr:col>13</xdr:col>
          <xdr:colOff>428625</xdr:colOff>
          <xdr:row>8</xdr:row>
          <xdr:rowOff>133350</xdr:rowOff>
        </xdr:to>
        <xdr:sp macro="" textlink="">
          <xdr:nvSpPr>
            <xdr:cNvPr id="1027" name="Copiar_Info_Genera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6</xdr:row>
          <xdr:rowOff>9525</xdr:rowOff>
        </xdr:from>
        <xdr:to>
          <xdr:col>16</xdr:col>
          <xdr:colOff>57150</xdr:colOff>
          <xdr:row>8</xdr:row>
          <xdr:rowOff>133350</xdr:rowOff>
        </xdr:to>
        <xdr:sp macro="" textlink="">
          <xdr:nvSpPr>
            <xdr:cNvPr id="1028" name="Copiar_Calificacion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6</xdr:row>
          <xdr:rowOff>9525</xdr:rowOff>
        </xdr:from>
        <xdr:to>
          <xdr:col>18</xdr:col>
          <xdr:colOff>457200</xdr:colOff>
          <xdr:row>8</xdr:row>
          <xdr:rowOff>133350</xdr:rowOff>
        </xdr:to>
        <xdr:sp macro="" textlink="">
          <xdr:nvSpPr>
            <xdr:cNvPr id="1029" name="Copiar_Analisi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134471</xdr:colOff>
      <xdr:row>3</xdr:row>
      <xdr:rowOff>11205</xdr:rowOff>
    </xdr:from>
    <xdr:to>
      <xdr:col>19</xdr:col>
      <xdr:colOff>101973</xdr:colOff>
      <xdr:row>5</xdr:row>
      <xdr:rowOff>119342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8618" y="694764"/>
          <a:ext cx="4965326" cy="9597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C2" totalsRowShown="0" headerRowDxfId="29">
  <tableColumns count="3">
    <tableColumn id="1" xr3:uid="{00000000-0010-0000-0000-000001000000}" name="ID"/>
    <tableColumn id="2" xr3:uid="{00000000-0010-0000-0000-000002000000}" name="ID NUMBER"/>
    <tableColumn id="3" xr3:uid="{00000000-0010-0000-0000-000003000000}" name="STUDENT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2.xml"/><Relationship Id="rId26" Type="http://schemas.openxmlformats.org/officeDocument/2006/relationships/image" Target="../media/image7.emf"/><Relationship Id="rId39" Type="http://schemas.openxmlformats.org/officeDocument/2006/relationships/control" Target="../activeX/activeX25.xml"/><Relationship Id="rId21" Type="http://schemas.openxmlformats.org/officeDocument/2006/relationships/control" Target="../activeX/activeX14.xml"/><Relationship Id="rId34" Type="http://schemas.openxmlformats.org/officeDocument/2006/relationships/image" Target="../media/image11.emf"/><Relationship Id="rId42" Type="http://schemas.openxmlformats.org/officeDocument/2006/relationships/control" Target="../activeX/activeX28.xml"/><Relationship Id="rId47" Type="http://schemas.openxmlformats.org/officeDocument/2006/relationships/comments" Target="../comments1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9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image" Target="../media/image10.emf"/><Relationship Id="rId37" Type="http://schemas.openxmlformats.org/officeDocument/2006/relationships/control" Target="../activeX/activeX24.xml"/><Relationship Id="rId40" Type="http://schemas.openxmlformats.org/officeDocument/2006/relationships/control" Target="../activeX/activeX26.xml"/><Relationship Id="rId45" Type="http://schemas.openxmlformats.org/officeDocument/2006/relationships/control" Target="../activeX/activeX31.xml"/><Relationship Id="rId5" Type="http://schemas.openxmlformats.org/officeDocument/2006/relationships/image" Target="../media/image2.emf"/><Relationship Id="rId15" Type="http://schemas.openxmlformats.org/officeDocument/2006/relationships/image" Target="../media/image5.emf"/><Relationship Id="rId23" Type="http://schemas.openxmlformats.org/officeDocument/2006/relationships/control" Target="../activeX/activeX16.xml"/><Relationship Id="rId28" Type="http://schemas.openxmlformats.org/officeDocument/2006/relationships/image" Target="../media/image8.emf"/><Relationship Id="rId36" Type="http://schemas.openxmlformats.org/officeDocument/2006/relationships/image" Target="../media/image12.emf"/><Relationship Id="rId10" Type="http://schemas.openxmlformats.org/officeDocument/2006/relationships/image" Target="../media/image4.emf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0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19.xml"/><Relationship Id="rId30" Type="http://schemas.openxmlformats.org/officeDocument/2006/relationships/image" Target="../media/image9.emf"/><Relationship Id="rId35" Type="http://schemas.openxmlformats.org/officeDocument/2006/relationships/control" Target="../activeX/activeX23.xml"/><Relationship Id="rId43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2.xml"/><Relationship Id="rId38" Type="http://schemas.openxmlformats.org/officeDocument/2006/relationships/image" Target="../media/image13.emf"/><Relationship Id="rId46" Type="http://schemas.openxmlformats.org/officeDocument/2006/relationships/control" Target="../activeX/activeX32.xml"/><Relationship Id="rId20" Type="http://schemas.openxmlformats.org/officeDocument/2006/relationships/image" Target="../media/image6.emf"/><Relationship Id="rId41" Type="http://schemas.openxmlformats.org/officeDocument/2006/relationships/control" Target="../activeX/activeX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4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C1"/>
  <sheetViews>
    <sheetView showGridLines="0" showRowColHeaders="0" zoomScale="160" zoomScaleNormal="160" workbookViewId="0">
      <selection activeCell="A2" sqref="A2"/>
    </sheetView>
  </sheetViews>
  <sheetFormatPr baseColWidth="10" defaultColWidth="11.42578125" defaultRowHeight="15" x14ac:dyDescent="0.25"/>
  <cols>
    <col min="1" max="1" width="5" customWidth="1"/>
    <col min="2" max="2" width="14.5703125" customWidth="1"/>
    <col min="3" max="3" width="37" customWidth="1"/>
  </cols>
  <sheetData>
    <row r="1" spans="1:3" s="76" customFormat="1" x14ac:dyDescent="0.25">
      <c r="A1" s="76" t="s">
        <v>0</v>
      </c>
      <c r="B1" s="76" t="s">
        <v>1</v>
      </c>
      <c r="C1" s="76" t="s">
        <v>2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097" r:id="rId4" name="Mostrar_Rúbrica">
          <controlPr defaultSize="0" autoLine="0" r:id="rId5">
            <anchor moveWithCells="1">
              <from>
                <xdr:col>3</xdr:col>
                <xdr:colOff>76200</xdr:colOff>
                <xdr:row>0</xdr:row>
                <xdr:rowOff>38100</xdr:rowOff>
              </from>
              <to>
                <xdr:col>4</xdr:col>
                <xdr:colOff>104775</xdr:colOff>
                <xdr:row>2</xdr:row>
                <xdr:rowOff>114300</xdr:rowOff>
              </to>
            </anchor>
          </controlPr>
        </control>
      </mc:Choice>
      <mc:Fallback>
        <control shapeId="4097" r:id="rId4" name="Mostrar_Rúbrica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M16"/>
  <sheetViews>
    <sheetView showGridLines="0" tabSelected="1" zoomScale="70" zoomScaleNormal="70" zoomScaleSheetLayoutView="68" workbookViewId="0">
      <selection sqref="A1:A3"/>
    </sheetView>
  </sheetViews>
  <sheetFormatPr baseColWidth="10" defaultColWidth="11.42578125" defaultRowHeight="15" x14ac:dyDescent="0.25"/>
  <cols>
    <col min="1" max="1" width="57.5703125" style="31" customWidth="1"/>
    <col min="2" max="2" width="9.28515625" style="31" customWidth="1"/>
    <col min="3" max="6" width="44.140625" style="31" customWidth="1"/>
    <col min="7" max="7" width="29.140625" style="31" customWidth="1"/>
    <col min="8" max="9" width="11.42578125" style="31" hidden="1" customWidth="1"/>
    <col min="10" max="10" width="12.7109375" style="31" hidden="1" customWidth="1"/>
    <col min="11" max="13" width="11.42578125" style="31" hidden="1" customWidth="1"/>
    <col min="14" max="18" width="11.42578125" style="31" customWidth="1"/>
    <col min="19" max="16384" width="11.42578125" style="31"/>
  </cols>
  <sheetData>
    <row r="1" spans="1:13" ht="23.25" customHeight="1" x14ac:dyDescent="0.25">
      <c r="A1" s="124" t="s">
        <v>18</v>
      </c>
      <c r="B1" s="125" t="str">
        <f>+IF(A1=L1,M1,IF(A1=L2,M2,IF(A1=L3,M3,IF(A1=L4,M4,IF(A1=L5,M5,IF(A1=#REF!,#REF!,IF(A1=#REF!,#REF!," ")))))))</f>
        <v>Participar eficazmente en un equipo de trabajo,  a través de la creación de un entorno colaborativo e inclusivo que permita apoyar en el cumplimiento de objetivos y organización de trabajos.</v>
      </c>
      <c r="C1" s="125"/>
      <c r="D1" s="125"/>
      <c r="E1" s="125"/>
      <c r="F1" s="126"/>
      <c r="H1" s="65">
        <v>0</v>
      </c>
      <c r="I1" s="65">
        <v>2</v>
      </c>
      <c r="J1" s="66" t="s">
        <v>4</v>
      </c>
      <c r="K1" s="115" t="s">
        <v>5</v>
      </c>
      <c r="L1" s="31" t="s">
        <v>6</v>
      </c>
      <c r="M1" s="31" t="s">
        <v>7</v>
      </c>
    </row>
    <row r="2" spans="1:13" ht="23.25" customHeight="1" x14ac:dyDescent="0.25">
      <c r="A2" s="124"/>
      <c r="B2" s="127"/>
      <c r="C2" s="127"/>
      <c r="D2" s="127"/>
      <c r="E2" s="127"/>
      <c r="F2" s="128"/>
      <c r="H2" s="65">
        <v>2.1</v>
      </c>
      <c r="I2" s="65">
        <v>3</v>
      </c>
      <c r="J2" s="66" t="s">
        <v>8</v>
      </c>
      <c r="K2" s="115"/>
      <c r="L2" s="31" t="s">
        <v>3</v>
      </c>
      <c r="M2" s="31" t="s">
        <v>9</v>
      </c>
    </row>
    <row r="3" spans="1:13" ht="23.25" customHeight="1" x14ac:dyDescent="0.25">
      <c r="A3" s="124"/>
      <c r="B3" s="129"/>
      <c r="C3" s="129"/>
      <c r="D3" s="129"/>
      <c r="E3" s="129"/>
      <c r="F3" s="130"/>
      <c r="H3" s="65">
        <v>3.1</v>
      </c>
      <c r="I3" s="65">
        <v>4</v>
      </c>
      <c r="J3" s="66" t="s">
        <v>10</v>
      </c>
      <c r="K3" s="67" t="s">
        <v>11</v>
      </c>
      <c r="L3" s="31" t="s">
        <v>12</v>
      </c>
      <c r="M3" s="31" t="s">
        <v>13</v>
      </c>
    </row>
    <row r="4" spans="1:13" x14ac:dyDescent="0.25">
      <c r="A4" s="74" t="s">
        <v>14</v>
      </c>
      <c r="B4" s="120">
        <f>+VLOOKUP($B$5,CHOOSE({2,1},'STUDENTS LIST'!$A$2:$A$39,'STUDENTS LIST'!$C$2:$C$39),2,0)</f>
        <v>0</v>
      </c>
      <c r="C4" s="121"/>
      <c r="D4" s="74" t="s">
        <v>15</v>
      </c>
      <c r="E4" s="118">
        <f>+VLOOKUP($B$5,CHOOSE({2,1},'STUDENTS LIST'!$B$2:$B$39,'STUDENTS LIST'!$C$2:$C$39),2,0)</f>
        <v>0</v>
      </c>
      <c r="F4" s="119"/>
      <c r="H4" s="65">
        <v>4.0999999999999996</v>
      </c>
      <c r="I4" s="65">
        <v>5</v>
      </c>
      <c r="J4" s="66" t="s">
        <v>16</v>
      </c>
      <c r="K4" s="67" t="s">
        <v>17</v>
      </c>
      <c r="L4" s="31" t="s">
        <v>18</v>
      </c>
      <c r="M4" s="31" t="s">
        <v>19</v>
      </c>
    </row>
    <row r="5" spans="1:13" x14ac:dyDescent="0.25">
      <c r="A5" s="75" t="s">
        <v>20</v>
      </c>
      <c r="B5" s="122"/>
      <c r="C5" s="122"/>
      <c r="D5" s="122"/>
      <c r="E5" s="122"/>
      <c r="F5" s="123"/>
      <c r="L5" s="31" t="s">
        <v>21</v>
      </c>
      <c r="M5" s="31" t="s">
        <v>22</v>
      </c>
    </row>
    <row r="6" spans="1:13" ht="23.25" customHeight="1" x14ac:dyDescent="0.25">
      <c r="A6" s="116" t="str">
        <f>+"Rúbrica"&amp;" "&amp;A1</f>
        <v>Rúbrica RA4</v>
      </c>
      <c r="B6" s="116" t="s">
        <v>23</v>
      </c>
      <c r="C6" s="72" t="s">
        <v>4</v>
      </c>
      <c r="D6" s="72" t="s">
        <v>8</v>
      </c>
      <c r="E6" s="72" t="s">
        <v>10</v>
      </c>
      <c r="F6" s="72" t="s">
        <v>16</v>
      </c>
    </row>
    <row r="7" spans="1:13" ht="23.25" customHeight="1" x14ac:dyDescent="0.25">
      <c r="A7" s="116"/>
      <c r="B7" s="116"/>
      <c r="C7" s="73">
        <v>1</v>
      </c>
      <c r="D7" s="73">
        <v>2</v>
      </c>
      <c r="E7" s="73">
        <v>4</v>
      </c>
      <c r="F7" s="73">
        <v>5</v>
      </c>
      <c r="H7" s="31" t="s">
        <v>24</v>
      </c>
      <c r="I7" s="31">
        <f>+COUNTIF(Estudiantes,B5)</f>
        <v>0</v>
      </c>
    </row>
    <row r="8" spans="1:13" ht="23.25" customHeight="1" x14ac:dyDescent="0.25">
      <c r="A8" s="117"/>
      <c r="B8" s="117"/>
      <c r="C8" s="73" t="s">
        <v>25</v>
      </c>
      <c r="D8" s="73" t="s">
        <v>26</v>
      </c>
      <c r="E8" s="73" t="s">
        <v>27</v>
      </c>
      <c r="F8" s="73" t="s">
        <v>28</v>
      </c>
      <c r="H8" s="68" t="s">
        <v>29</v>
      </c>
    </row>
    <row r="9" spans="1:13" ht="125.25" customHeight="1" x14ac:dyDescent="0.25">
      <c r="A9" s="71" t="str">
        <f>+IF($A$1=$L$1,'SO1'!A6,IF($A$1=$L$2,'SO2'!A6,IF($A$1=$L$3,'SO3'!A6,IF($A$1=$L$4,'SO4'!A6,IF($A$1=$L$5,'SO5'!A6,IF($A$1=$L$6,'SO6'!A6,IF($A$1=$L$7,'SO7'!A6,"-")))))))</f>
        <v>Explicar su punto de vista respetando el de los demás infiriendo conclusiones que beneficien el trabajo colaborativo e inclusivo.</v>
      </c>
      <c r="B9" s="107"/>
      <c r="C9" s="69" t="str">
        <f>+IF($A$1=$L$1,'SO1'!B6,IF($A$1=$L$2,'SO2'!B6,IF($A$1=$L$3,'SO3'!B6,IF($A$1=$L$4,'SO4'!B6,IF($A$1=$L$5,'SO5'!B6,IF($A$1=$L$6,'SO6'!B6,IF($A$1=$L$7,'SO7'!B6,"-")))))))</f>
        <v>No explica su punto de vista y no respeta el de los demás afectando el trabajo colaborativo e inclusivo</v>
      </c>
      <c r="D9" s="69" t="str">
        <f>+IF($A$1=$L$1,'SO1'!C6,IF($A$1=$L$2,'SO2'!C6,IF($A$1=$L$3,'SO3'!C6,IF($A$1=$L$4,'SO4'!C6,IF($A$1=$L$5,'SO5'!C6,IF($A$1=$L$6,'SO6'!C6,IF($A$1=$L$7,'SO7'!C6,"-")))))))</f>
        <v>Explica su punto de vista con poca claridad sin respetar el punto de vista de los demás afectando levemente el trabajo colaborativo e inclusivo</v>
      </c>
      <c r="E9" s="69" t="str">
        <f>+IF($A$1=$L$1,'SO1'!D6,IF($A$1=$L$2,'SO2'!D6,IF($A$1=$L$3,'SO3'!D6,IF($A$1=$L$4,'SO4'!D6,IF($A$1=$L$5,'SO5'!D6,IF($A$1=$L$6,'SO6'!D6,IF($A$1=$L$7,'SO7'!D6,"-")))))))</f>
        <v>Explica su punto de vista respetando el de los demás beneficiando el trabajo colaborativo e inclusivo</v>
      </c>
      <c r="F9" s="69" t="str">
        <f>+IF($A$1=$L$1,'SO1'!E6,IF($A$1=$L$2,'SO2'!E6,IF($A$1=$L$3,'SO3'!E6,IF($A$1=$L$4,'SO4'!E6,IF($A$1=$L$5,'SO5'!E6,IF($A$1=$L$6,'SO6'!E6,IF($A$1=$L$7,'SO7'!E6,"-")))))))</f>
        <v>Explica con total claridad y coherencia su punto de vista respetando el de los demás beneficiando el trabajo colaborativo</v>
      </c>
      <c r="G9" s="70"/>
      <c r="H9" s="68"/>
    </row>
    <row r="10" spans="1:13" ht="125.25" customHeight="1" x14ac:dyDescent="0.25">
      <c r="A10" s="71" t="str">
        <f>+IF($A$1=$L$1,'SO1'!A7,IF($A$1=$L$2,'SO2'!A7,IF($A$1=$L$3,'SO3'!A7,IF($A$1=$L$4,'SO4'!A7,IF($A$1=$L$5,'SO5'!A7,IF($A$1=$L$6,'SO6'!A7,IF($A$1=$L$7,'SO7'!A7,"-")))))))</f>
        <v>Planificar y construir su propio procedimiento de trabajo, estableciendo objetivos, tareas, roles y compromisos de los miembros del equipo.</v>
      </c>
      <c r="B10" s="107"/>
      <c r="C10" s="69" t="str">
        <f>+IF($A$1=$L$1,'SO1'!B7,IF($A$1=$L$2,'SO2'!B7,IF($A$1=$L$3,'SO3'!B7,IF($A$1=$L$4,'SO4'!B7,IF($A$1=$L$5,'SO5'!B7,IF($A$1=$L$6,'SO6'!B7,IF($A$1=$L$7,'SO7'!B7,"-")))))))</f>
        <v>No evidencia la Planificación y construcción en equipo de su propio procedimiento de trabajo, estableciendo objetivos, tareas, roles y compromisos de los miembros del equipo</v>
      </c>
      <c r="D10" s="69" t="str">
        <f>+IF($A$1=$L$1,'SO1'!C7,IF($A$1=$L$2,'SO2'!C7,IF($A$1=$L$3,'SO3'!C7,IF($A$1=$L$4,'SO4'!C7,IF($A$1=$L$5,'SO5'!C7,IF($A$1=$L$6,'SO6'!C7,IF($A$1=$L$7,'SO7'!C7,"-")))))))</f>
        <v>Planifica pero no construye en equipo su propio procedimiento de trabajo</v>
      </c>
      <c r="E10" s="69" t="str">
        <f>+IF($A$1=$L$1,'SO1'!D7,IF($A$1=$L$2,'SO2'!D7,IF($A$1=$L$3,'SO3'!D7,IF($A$1=$L$4,'SO4'!D7,IF($A$1=$L$5,'SO5'!D7,IF($A$1=$L$6,'SO6'!D7,IF($A$1=$L$7,'SO7'!D7,"-")))))))</f>
        <v>Evidencia la planificación y construcción en equipo de su propio procedimiento de trabajo, estableciendo objetivos, tareas, roles y compromisos de los miembros del equipo</v>
      </c>
      <c r="F10" s="69" t="str">
        <f>+IF($A$1=$L$1,'SO1'!E7,IF($A$1=$L$2,'SO2'!E7,IF($A$1=$L$3,'SO3'!E7,IF($A$1=$L$4,'SO4'!E7,IF($A$1=$L$5,'SO5'!E7,IF($A$1=$L$6,'SO6'!E7,IF($A$1=$L$7,'SO7'!E7,"-")))))))</f>
        <v>Evidencia la Planificación y construcción en equipo de su propio procedimiento de trabajo, de manera clara, coherente, colaborativa e inclusiva (estableciendo objetivos, tareas, roles y compromisos de los miembros del equipo)</v>
      </c>
      <c r="H10" s="68"/>
    </row>
    <row r="11" spans="1:13" ht="125.25" customHeight="1" x14ac:dyDescent="0.25">
      <c r="A11" s="71" t="str">
        <f>+IF($A$1=$L$1,'SO1'!A8,IF($A$1=$L$2,'SO2'!A8,IF($A$1=$L$3,'SO3'!A8,IF($A$1=$L$4,'SO4'!A8,IF($A$1=$L$5,'SO5'!A8,IF($A$1=$L$6,'SO6'!A8,IF($A$1=$L$7,'SO7'!A8,"-")))))))</f>
        <v>Diseñar la solución, a través de modelos, que satisfaga las necesidades, problemas y oportunidades identificadas  en la gestión de la cadena de valor. (Estructura, Pertinencia)</v>
      </c>
      <c r="B11" s="107"/>
      <c r="C11" s="69" t="str">
        <f>+IF($A$1=$L$1,'SO1'!B8,IF($A$1=$L$2,'SO2'!B8,IF($A$1=$L$3,'SO3'!B8,IF($A$1=$L$4,'SO4'!B8,IF($A$1=$L$5,'SO5'!B8,IF($A$1=$L$6,'SO6'!B8,IF($A$1=$L$7,'SO7'!B8,"-")))))))</f>
        <v>No Desarrolla las actividades en equipo, en función de los objetivos y las opiniones de cada integrante.</v>
      </c>
      <c r="D11" s="69" t="str">
        <f>+IF($A$1=$L$1,'SO1'!C8,IF($A$1=$L$2,'SO2'!C8,IF($A$1=$L$3,'SO3'!C8,IF($A$1=$L$4,'SO4'!C8,IF($A$1=$L$5,'SO5'!C8,IF($A$1=$L$6,'SO6'!C8,IF($A$1=$L$7,'SO7'!C8,"-")))))))</f>
        <v>Desarrolla parcialmente las actividades en equipo, en función de los objetivos y las opiniones de cada integrante.</v>
      </c>
      <c r="E11" s="69" t="str">
        <f>+IF($A$1=$L$1,'SO1'!D8,IF($A$1=$L$2,'SO2'!D8,IF($A$1=$L$3,'SO3'!D8,IF($A$1=$L$4,'SO4'!D8,IF($A$1=$L$5,'SO5'!D8,IF($A$1=$L$6,'SO6'!D8,IF($A$1=$L$7,'SO7'!D8,"-")))))))</f>
        <v>Diseñar la solución, de manera pertinente y estructurada, a través de modelos, que satisfaga las necesidades, problemas y oportunidades identificadas en el entorno.</v>
      </c>
      <c r="F11" s="69" t="str">
        <f>+IF($A$1=$L$1,'SO1'!E8,IF($A$1=$L$2,'SO2'!E8,IF($A$1=$L$3,'SO3'!E8,IF($A$1=$L$4,'SO4'!E8,IF($A$1=$L$5,'SO5'!E8,IF($A$1=$L$6,'SO6'!E8,IF($A$1=$L$7,'SO7'!E8,"-")))))))</f>
        <v>Diseña la solución, de manera pertinente y estructurada, a través de modelos, que satisfacen las necesidades, problemas y oportunidades identificadas en el entorno, teniendo en consideración los impactos y beneficios esperados.</v>
      </c>
      <c r="H11" s="68"/>
    </row>
    <row r="12" spans="1:13" ht="124.5" customHeight="1" x14ac:dyDescent="0.25">
      <c r="A12" s="71" t="str">
        <f>+IF($A$1=$L$1,'SO1'!A9,IF($A$1=$L$2,'SO2'!A9,IF($A$1=$L$3,'SO3'!A9,IF($A$1=$L$4,'SO4'!A9,IF($A$1=$L$5,'SO5'!A9,IF($A$1=$L$6,'SO6'!A9,IF($A$1=$L$7,'SO7'!A9,"-")))))))</f>
        <v>Integrar los aportes de los miembros para cumplir los objetivos.</v>
      </c>
      <c r="B12" s="107"/>
      <c r="C12" s="69" t="str">
        <f>+IF($A$1=$L$1,'SO1'!B9,IF($A$1=$L$2,'SO2'!B9,IF($A$1=$L$3,'SO3'!B9,IF($A$1=$L$4,'SO4'!B9,IF($A$1=$L$5,'SO5'!B9,IF($A$1=$L$6,'SO6'!B9,IF($A$1=$L$7,'SO7'!B9,"-")))))))</f>
        <v>No Integra los aportes de los miembros para cumplir los objetivos.</v>
      </c>
      <c r="D12" s="69" t="str">
        <f>+IF($A$1=$L$1,'SO1'!C9,IF($A$1=$L$2,'SO2'!C9,IF($A$1=$L$3,'SO3'!C9,IF($A$1=$L$4,'SO4'!C9,IF($A$1=$L$5,'SO5'!C9,IF($A$1=$L$6,'SO6'!C9,IF($A$1=$L$7,'SO7'!C9,"-")))))))</f>
        <v>Integra los aportes del grupo, pero no tiene coherencia con los objetivos a cumplir</v>
      </c>
      <c r="E12" s="69" t="str">
        <f>+IF($A$1=$L$1,'SO1'!D9,IF($A$1=$L$2,'SO2'!D9,IF($A$1=$L$3,'SO3'!D9,IF($A$1=$L$4,'SO4'!D9,IF($A$1=$L$5,'SO5'!D9,IF($A$1=$L$6,'SO6'!D9,IF($A$1=$L$7,'SO7'!D9,"-")))))))</f>
        <v>Integra los aportes de los miembros para cumplir los objetivos.</v>
      </c>
      <c r="F12" s="69" t="str">
        <f>+IF($A$1=$L$1,'SO1'!E9,IF($A$1=$L$2,'SO2'!E9,IF($A$1=$L$3,'SO3'!E9,IF($A$1=$L$4,'SO4'!E9,IF($A$1=$L$5,'SO5'!E9,IF($A$1=$L$6,'SO6'!E9,IF($A$1=$L$7,'SO7'!E9,"-")))))))</f>
        <v>Integra los aportes de los miembros para cumplir los objetivos, de manera coherente, colaborativa e inclusiva.</v>
      </c>
      <c r="H12" s="68"/>
    </row>
    <row r="13" spans="1:13" ht="124.5" customHeight="1" x14ac:dyDescent="0.25">
      <c r="A13" s="71">
        <f>+IF($A$1=$L$1,'SO1'!A10,IF($A$1=$L$2,'SO2'!A10,IF($A$1=$L$3,'SO3'!A10,IF($A$1=$L$4,'SO4'!A10,IF($A$1=$L$5,'SO5'!A10,IF($A$1=$L$6,'SO6'!A10,IF($A$1=$L$7,'SO7'!A10,"-")))))))</f>
        <v>0</v>
      </c>
      <c r="B13" s="87"/>
      <c r="C13" s="69">
        <f>+IF($A$1=$L$1,'SO1'!B10,IF($A$1=$L$2,'SO2'!B10,IF($A$1=$L$3,'SO3'!B10,IF($A$1=$L$4,'SO4'!B10,IF($A$1=$L$5,'SO5'!B10,IF($A$1=$L$6,'SO6'!B10,IF($A$1=$L$7,'SO7'!B10,"-")))))))</f>
        <v>0</v>
      </c>
      <c r="D13" s="69">
        <f>+IF($A$1=$L$1,'SO1'!C10,IF($A$1=$L$2,'SO2'!C10,IF($A$1=$L$3,'SO3'!C10,IF($A$1=$L$4,'SO4'!C10,IF($A$1=$L$5,'SO5'!C10,IF($A$1=$L$6,'SO6'!C10,IF($A$1=$L$7,'SO7'!C10,"-")))))))</f>
        <v>0</v>
      </c>
      <c r="E13" s="69">
        <f>+IF($A$1=$L$1,'SO1'!D10,IF($A$1=$L$2,'SO2'!D10,IF($A$1=$L$3,'SO3'!D10,IF($A$1=$L$4,'SO4'!D10,IF($A$1=$L$5,'SO5'!D10,IF($A$1=$L$6,'SO6'!D10,IF($A$1=$L$7,'SO7'!D10,"-")))))))</f>
        <v>0</v>
      </c>
      <c r="F13" s="69">
        <f>+IF($A$1=$L$1,'SO1'!E10,IF($A$1=$L$2,'SO2'!E10,IF($A$1=$L$3,'SO3'!E10,IF($A$1=$L$4,'SO4'!E10,IF($A$1=$L$5,'SO5'!E10,IF($A$1=$L$6,'SO6'!E10,IF($A$1=$L$7,'SO7'!E10,"-")))))))</f>
        <v>0</v>
      </c>
      <c r="H13" s="68"/>
    </row>
    <row r="14" spans="1:13" ht="124.5" customHeight="1" x14ac:dyDescent="0.25">
      <c r="A14" s="71">
        <f>+IF($A$1=$L$1,'SO1'!A11,IF($A$1=$L$2,'SO2'!A11,IF($A$1=$L$3,'SO3'!A11,IF($A$1=$L$4,'SO4'!A11,IF($A$1=$L$5,'SO5'!A11,IF($A$1=$L$6,'SO6'!A11,IF($A$1=$L$7,'SO7'!A11,"-")))))))</f>
        <v>0</v>
      </c>
      <c r="B14" s="87"/>
      <c r="C14" s="69">
        <f>+IF($A$1=$L$1,'SO1'!B11,IF($A$1=$L$2,'SO2'!B11,IF($A$1=$L$3,'SO3'!B11,IF($A$1=$L$4,'SO4'!B11,IF($A$1=$L$5,'SO5'!B11,IF($A$1=$L$6,'SO6'!B11,IF($A$1=$L$7,'SO7'!B11,"-")))))))</f>
        <v>0</v>
      </c>
      <c r="D14" s="69">
        <f>+IF($A$1=$L$1,'SO1'!C11,IF($A$1=$L$2,'SO2'!C11,IF($A$1=$L$3,'SO3'!C11,IF($A$1=$L$4,'SO4'!C11,IF($A$1=$L$5,'SO5'!C11,IF($A$1=$L$6,'SO6'!C11,IF($A$1=$L$7,'SO7'!C11,"-")))))))</f>
        <v>0</v>
      </c>
      <c r="E14" s="69">
        <f>+IF($A$1=$L$1,'SO1'!D11,IF($A$1=$L$2,'SO2'!D11,IF($A$1=$L$3,'SO3'!D11,IF($A$1=$L$4,'SO4'!D11,IF($A$1=$L$5,'SO5'!D11,IF($A$1=$L$6,'SO6'!D11,IF($A$1=$L$7,'SO7'!D11,"-")))))))</f>
        <v>0</v>
      </c>
      <c r="F14" s="69">
        <f>+IF($A$1=$L$1,'SO1'!E11,IF($A$1=$L$2,'SO2'!E11,IF($A$1=$L$3,'SO3'!E11,IF($A$1=$L$4,'SO4'!E11,IF($A$1=$L$5,'SO5'!E11,IF($A$1=$L$6,'SO6'!E11,IF($A$1=$L$7,'SO7'!E11,"-")))))))</f>
        <v>0</v>
      </c>
      <c r="H14" s="68"/>
    </row>
    <row r="15" spans="1:13" ht="18.75" x14ac:dyDescent="0.25">
      <c r="B15" s="16">
        <f>+SUM(B9:B14)</f>
        <v>0</v>
      </c>
      <c r="C15" s="112" t="str">
        <f>+IF(B15&lt;1,"&lt;========================================= RECUERDE QUE LA SUMA DE LA PONDERACIÓN DE LOS PI DEBE SER IGUAL A 100%",IF(B15&gt;1,"&lt;========================================= RECUERDE QUE LA SUMA DE LA PONDERACIÓN DE LOS PI DEBE SER IGUAL A 100%"," "))</f>
        <v>&lt;========================================= RECUERDE QUE LA SUMA DE LA PONDERACIÓN DE LOS PI DEBE SER IGUAL A 100%</v>
      </c>
      <c r="D15" s="113"/>
      <c r="E15" s="113"/>
      <c r="F15" s="114"/>
    </row>
    <row r="16" spans="1:13" ht="21" x14ac:dyDescent="0.25">
      <c r="B16"/>
      <c r="C16" s="15" t="s">
        <v>29</v>
      </c>
      <c r="D16" s="15">
        <f>+(H9*B9)+(H10*B10)+(H11*B11)+(H12*B12)+(H13*B13)+(H14*B14)</f>
        <v>0</v>
      </c>
      <c r="E16" s="15" t="str">
        <f>+IF(D16&lt;=I1,J1,IF(D16&lt;=I2,J2,IF(D16&lt;=I3,J3,IF(D16&gt;I3,J4))))</f>
        <v>Poor</v>
      </c>
      <c r="F16"/>
    </row>
  </sheetData>
  <protectedRanges>
    <protectedRange algorithmName="SHA-512" hashValue="iYDmPcQdBus2p+4sKBblKzX8YC83o0hS/e3r5cs+a8jd0sqqNbxrQFGXdKpmSbaNZR22ueYdFTJguqnPk04QKw==" saltValue="BTsaD8k3I8qjp4H2bjSghg==" spinCount="100000" sqref="B4:C4 B5:F5 E4:F4" name="Datos Estudiantes"/>
  </protectedRanges>
  <mergeCells count="9">
    <mergeCell ref="C15:F15"/>
    <mergeCell ref="K1:K2"/>
    <mergeCell ref="A6:A8"/>
    <mergeCell ref="E4:F4"/>
    <mergeCell ref="B6:B8"/>
    <mergeCell ref="B4:C4"/>
    <mergeCell ref="B5:F5"/>
    <mergeCell ref="A1:A3"/>
    <mergeCell ref="B1:F3"/>
  </mergeCells>
  <conditionalFormatting sqref="D16">
    <cfRule type="iconSet" priority="9">
      <iconSet iconSet="3Symbols">
        <cfvo type="percent" val="0"/>
        <cfvo type="num" val="3.1"/>
        <cfvo type="num" val="4" gte="0"/>
      </iconSet>
    </cfRule>
  </conditionalFormatting>
  <conditionalFormatting sqref="B4:C4 E4:F4">
    <cfRule type="cellIs" dxfId="28" priority="7" operator="equal">
      <formula>0</formula>
    </cfRule>
    <cfRule type="containsErrors" dxfId="27" priority="8">
      <formula>ISERROR(B4)</formula>
    </cfRule>
  </conditionalFormatting>
  <conditionalFormatting sqref="C9:F14">
    <cfRule type="cellIs" dxfId="26" priority="2" operator="equal">
      <formula>0</formula>
    </cfRule>
    <cfRule type="containsErrors" dxfId="25" priority="6">
      <formula>ISERROR(C9)</formula>
    </cfRule>
  </conditionalFormatting>
  <conditionalFormatting sqref="A9:A14">
    <cfRule type="cellIs" dxfId="24" priority="3" operator="equal">
      <formula>0</formula>
    </cfRule>
    <cfRule type="containsErrors" dxfId="23" priority="16">
      <formula>ISERROR(A9)</formula>
    </cfRule>
  </conditionalFormatting>
  <conditionalFormatting sqref="B1:F3">
    <cfRule type="cellIs" dxfId="22" priority="1" operator="equal">
      <formula>0</formula>
    </cfRule>
    <cfRule type="containsErrors" dxfId="21" priority="18">
      <formula>ISERROR(B1)</formula>
    </cfRule>
  </conditionalFormatting>
  <dataValidations count="2">
    <dataValidation type="list" allowBlank="1" showInputMessage="1" showErrorMessage="1" sqref="B1" xr:uid="{00000000-0002-0000-0100-000000000000}">
      <formula1>$M$1:$M$5</formula1>
    </dataValidation>
    <dataValidation type="list" allowBlank="1" showInputMessage="1" showErrorMessage="1" sqref="A1:A3" xr:uid="{00000000-0002-0000-0100-000001000000}">
      <formula1>$L$1:$L$7</formula1>
    </dataValidation>
  </dataValidations>
  <pageMargins left="0.70866141732283472" right="0.70866141732283472" top="0.74803149606299213" bottom="0.74803149606299213" header="0.31496062992125984" footer="0.31496062992125984"/>
  <pageSetup paperSize="9" scale="38" orientation="landscape" r:id="rId1"/>
  <ignoredErrors>
    <ignoredError sqref="E16 D15:F15 C9:F14" unlocked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OptionButton1">
          <controlPr autoLine="0" r:id="rId5">
            <anchor moveWithCells="1">
              <from>
                <xdr:col>2</xdr:col>
                <xdr:colOff>2800350</xdr:colOff>
                <xdr:row>8</xdr:row>
                <xdr:rowOff>1400175</xdr:rowOff>
              </from>
              <to>
                <xdr:col>3</xdr:col>
                <xdr:colOff>38100</xdr:colOff>
                <xdr:row>9</xdr:row>
                <xdr:rowOff>76200</xdr:rowOff>
              </to>
            </anchor>
          </controlPr>
        </control>
      </mc:Choice>
      <mc:Fallback>
        <control shapeId="2049" r:id="rId4" name="OptionButton1"/>
      </mc:Fallback>
    </mc:AlternateContent>
    <mc:AlternateContent xmlns:mc="http://schemas.openxmlformats.org/markup-compatibility/2006">
      <mc:Choice Requires="x14">
        <control shapeId="2050" r:id="rId6" name="OptionButton2">
          <controlPr autoLine="0" r:id="rId7">
            <anchor moveWithCells="1">
              <from>
                <xdr:col>3</xdr:col>
                <xdr:colOff>2800350</xdr:colOff>
                <xdr:row>8</xdr:row>
                <xdr:rowOff>1390650</xdr:rowOff>
              </from>
              <to>
                <xdr:col>4</xdr:col>
                <xdr:colOff>28575</xdr:colOff>
                <xdr:row>9</xdr:row>
                <xdr:rowOff>66675</xdr:rowOff>
              </to>
            </anchor>
          </controlPr>
        </control>
      </mc:Choice>
      <mc:Fallback>
        <control shapeId="2050" r:id="rId6" name="OptionButton2"/>
      </mc:Fallback>
    </mc:AlternateContent>
    <mc:AlternateContent xmlns:mc="http://schemas.openxmlformats.org/markup-compatibility/2006">
      <mc:Choice Requires="x14">
        <control shapeId="2051" r:id="rId8" name="OptionButton3">
          <controlPr autoLine="0" r:id="rId7">
            <anchor moveWithCells="1">
              <from>
                <xdr:col>4</xdr:col>
                <xdr:colOff>2809875</xdr:colOff>
                <xdr:row>8</xdr:row>
                <xdr:rowOff>1400175</xdr:rowOff>
              </from>
              <to>
                <xdr:col>5</xdr:col>
                <xdr:colOff>38100</xdr:colOff>
                <xdr:row>9</xdr:row>
                <xdr:rowOff>76200</xdr:rowOff>
              </to>
            </anchor>
          </controlPr>
        </control>
      </mc:Choice>
      <mc:Fallback>
        <control shapeId="2051" r:id="rId8" name="OptionButton3"/>
      </mc:Fallback>
    </mc:AlternateContent>
    <mc:AlternateContent xmlns:mc="http://schemas.openxmlformats.org/markup-compatibility/2006">
      <mc:Choice Requires="x14">
        <control shapeId="2052" r:id="rId9" name="OptionButton4">
          <controlPr autoLine="0" r:id="rId10">
            <anchor moveWithCells="1">
              <from>
                <xdr:col>5</xdr:col>
                <xdr:colOff>2809875</xdr:colOff>
                <xdr:row>8</xdr:row>
                <xdr:rowOff>1390650</xdr:rowOff>
              </from>
              <to>
                <xdr:col>6</xdr:col>
                <xdr:colOff>28575</xdr:colOff>
                <xdr:row>9</xdr:row>
                <xdr:rowOff>66675</xdr:rowOff>
              </to>
            </anchor>
          </controlPr>
        </control>
      </mc:Choice>
      <mc:Fallback>
        <control shapeId="2052" r:id="rId9" name="OptionButton4"/>
      </mc:Fallback>
    </mc:AlternateContent>
    <mc:AlternateContent xmlns:mc="http://schemas.openxmlformats.org/markup-compatibility/2006">
      <mc:Choice Requires="x14">
        <control shapeId="2053" r:id="rId11" name="OptionButton5">
          <controlPr autoLine="0" r:id="rId7">
            <anchor moveWithCells="1">
              <from>
                <xdr:col>2</xdr:col>
                <xdr:colOff>2809875</xdr:colOff>
                <xdr:row>9</xdr:row>
                <xdr:rowOff>1400175</xdr:rowOff>
              </from>
              <to>
                <xdr:col>3</xdr:col>
                <xdr:colOff>38100</xdr:colOff>
                <xdr:row>10</xdr:row>
                <xdr:rowOff>76200</xdr:rowOff>
              </to>
            </anchor>
          </controlPr>
        </control>
      </mc:Choice>
      <mc:Fallback>
        <control shapeId="2053" r:id="rId11" name="OptionButton5"/>
      </mc:Fallback>
    </mc:AlternateContent>
    <mc:AlternateContent xmlns:mc="http://schemas.openxmlformats.org/markup-compatibility/2006">
      <mc:Choice Requires="x14">
        <control shapeId="2054" r:id="rId12" name="OptionButton6">
          <controlPr autoLine="0" r:id="rId10">
            <anchor moveWithCells="1">
              <from>
                <xdr:col>3</xdr:col>
                <xdr:colOff>2809875</xdr:colOff>
                <xdr:row>9</xdr:row>
                <xdr:rowOff>1390650</xdr:rowOff>
              </from>
              <to>
                <xdr:col>4</xdr:col>
                <xdr:colOff>28575</xdr:colOff>
                <xdr:row>10</xdr:row>
                <xdr:rowOff>66675</xdr:rowOff>
              </to>
            </anchor>
          </controlPr>
        </control>
      </mc:Choice>
      <mc:Fallback>
        <control shapeId="2054" r:id="rId12" name="OptionButton6"/>
      </mc:Fallback>
    </mc:AlternateContent>
    <mc:AlternateContent xmlns:mc="http://schemas.openxmlformats.org/markup-compatibility/2006">
      <mc:Choice Requires="x14">
        <control shapeId="2055" r:id="rId13" name="OptionButton7">
          <controlPr autoLine="0" r:id="rId10">
            <anchor moveWithCells="1">
              <from>
                <xdr:col>4</xdr:col>
                <xdr:colOff>2819400</xdr:colOff>
                <xdr:row>9</xdr:row>
                <xdr:rowOff>1400175</xdr:rowOff>
              </from>
              <to>
                <xdr:col>5</xdr:col>
                <xdr:colOff>38100</xdr:colOff>
                <xdr:row>10</xdr:row>
                <xdr:rowOff>76200</xdr:rowOff>
              </to>
            </anchor>
          </controlPr>
        </control>
      </mc:Choice>
      <mc:Fallback>
        <control shapeId="2055" r:id="rId13" name="OptionButton7"/>
      </mc:Fallback>
    </mc:AlternateContent>
    <mc:AlternateContent xmlns:mc="http://schemas.openxmlformats.org/markup-compatibility/2006">
      <mc:Choice Requires="x14">
        <control shapeId="2056" r:id="rId14" name="OptionButton8">
          <controlPr autoLine="0" r:id="rId15">
            <anchor moveWithCells="1">
              <from>
                <xdr:col>5</xdr:col>
                <xdr:colOff>2819400</xdr:colOff>
                <xdr:row>9</xdr:row>
                <xdr:rowOff>1390650</xdr:rowOff>
              </from>
              <to>
                <xdr:col>6</xdr:col>
                <xdr:colOff>28575</xdr:colOff>
                <xdr:row>10</xdr:row>
                <xdr:rowOff>66675</xdr:rowOff>
              </to>
            </anchor>
          </controlPr>
        </control>
      </mc:Choice>
      <mc:Fallback>
        <control shapeId="2056" r:id="rId14" name="OptionButton8"/>
      </mc:Fallback>
    </mc:AlternateContent>
    <mc:AlternateContent xmlns:mc="http://schemas.openxmlformats.org/markup-compatibility/2006">
      <mc:Choice Requires="x14">
        <control shapeId="2057" r:id="rId16" name="OptionButton9">
          <controlPr autoLine="0" r:id="rId10">
            <anchor moveWithCells="1">
              <from>
                <xdr:col>2</xdr:col>
                <xdr:colOff>2809875</xdr:colOff>
                <xdr:row>10</xdr:row>
                <xdr:rowOff>1400175</xdr:rowOff>
              </from>
              <to>
                <xdr:col>3</xdr:col>
                <xdr:colOff>28575</xdr:colOff>
                <xdr:row>11</xdr:row>
                <xdr:rowOff>76200</xdr:rowOff>
              </to>
            </anchor>
          </controlPr>
        </control>
      </mc:Choice>
      <mc:Fallback>
        <control shapeId="2057" r:id="rId16" name="OptionButton9"/>
      </mc:Fallback>
    </mc:AlternateContent>
    <mc:AlternateContent xmlns:mc="http://schemas.openxmlformats.org/markup-compatibility/2006">
      <mc:Choice Requires="x14">
        <control shapeId="2058" r:id="rId17" name="OptionButton10">
          <controlPr autoLine="0" r:id="rId15">
            <anchor moveWithCells="1">
              <from>
                <xdr:col>3</xdr:col>
                <xdr:colOff>2809875</xdr:colOff>
                <xdr:row>10</xdr:row>
                <xdr:rowOff>1390650</xdr:rowOff>
              </from>
              <to>
                <xdr:col>4</xdr:col>
                <xdr:colOff>19050</xdr:colOff>
                <xdr:row>11</xdr:row>
                <xdr:rowOff>66675</xdr:rowOff>
              </to>
            </anchor>
          </controlPr>
        </control>
      </mc:Choice>
      <mc:Fallback>
        <control shapeId="2058" r:id="rId17" name="OptionButton10"/>
      </mc:Fallback>
    </mc:AlternateContent>
    <mc:AlternateContent xmlns:mc="http://schemas.openxmlformats.org/markup-compatibility/2006">
      <mc:Choice Requires="x14">
        <control shapeId="2059" r:id="rId18" name="OptionButton11">
          <controlPr autoLine="0" r:id="rId15">
            <anchor moveWithCells="1">
              <from>
                <xdr:col>4</xdr:col>
                <xdr:colOff>2819400</xdr:colOff>
                <xdr:row>10</xdr:row>
                <xdr:rowOff>1400175</xdr:rowOff>
              </from>
              <to>
                <xdr:col>5</xdr:col>
                <xdr:colOff>28575</xdr:colOff>
                <xdr:row>11</xdr:row>
                <xdr:rowOff>76200</xdr:rowOff>
              </to>
            </anchor>
          </controlPr>
        </control>
      </mc:Choice>
      <mc:Fallback>
        <control shapeId="2059" r:id="rId18" name="OptionButton11"/>
      </mc:Fallback>
    </mc:AlternateContent>
    <mc:AlternateContent xmlns:mc="http://schemas.openxmlformats.org/markup-compatibility/2006">
      <mc:Choice Requires="x14">
        <control shapeId="2060" r:id="rId19" name="OptionButton12">
          <controlPr autoLine="0" r:id="rId20">
            <anchor moveWithCells="1">
              <from>
                <xdr:col>5</xdr:col>
                <xdr:colOff>2819400</xdr:colOff>
                <xdr:row>10</xdr:row>
                <xdr:rowOff>1390650</xdr:rowOff>
              </from>
              <to>
                <xdr:col>6</xdr:col>
                <xdr:colOff>19050</xdr:colOff>
                <xdr:row>11</xdr:row>
                <xdr:rowOff>66675</xdr:rowOff>
              </to>
            </anchor>
          </controlPr>
        </control>
      </mc:Choice>
      <mc:Fallback>
        <control shapeId="2060" r:id="rId19" name="OptionButton12"/>
      </mc:Fallback>
    </mc:AlternateContent>
    <mc:AlternateContent xmlns:mc="http://schemas.openxmlformats.org/markup-compatibility/2006">
      <mc:Choice Requires="x14">
        <control shapeId="2061" r:id="rId21" name="OptionButton13">
          <controlPr autoLine="0" r:id="rId7">
            <anchor moveWithCells="1">
              <from>
                <xdr:col>2</xdr:col>
                <xdr:colOff>2809875</xdr:colOff>
                <xdr:row>11</xdr:row>
                <xdr:rowOff>1400175</xdr:rowOff>
              </from>
              <to>
                <xdr:col>3</xdr:col>
                <xdr:colOff>38100</xdr:colOff>
                <xdr:row>12</xdr:row>
                <xdr:rowOff>85725</xdr:rowOff>
              </to>
            </anchor>
          </controlPr>
        </control>
      </mc:Choice>
      <mc:Fallback>
        <control shapeId="2061" r:id="rId21" name="OptionButton13"/>
      </mc:Fallback>
    </mc:AlternateContent>
    <mc:AlternateContent xmlns:mc="http://schemas.openxmlformats.org/markup-compatibility/2006">
      <mc:Choice Requires="x14">
        <control shapeId="2062" r:id="rId22" name="OptionButton14">
          <controlPr autoLine="0" r:id="rId10">
            <anchor moveWithCells="1">
              <from>
                <xdr:col>3</xdr:col>
                <xdr:colOff>2809875</xdr:colOff>
                <xdr:row>11</xdr:row>
                <xdr:rowOff>1390650</xdr:rowOff>
              </from>
              <to>
                <xdr:col>4</xdr:col>
                <xdr:colOff>28575</xdr:colOff>
                <xdr:row>12</xdr:row>
                <xdr:rowOff>76200</xdr:rowOff>
              </to>
            </anchor>
          </controlPr>
        </control>
      </mc:Choice>
      <mc:Fallback>
        <control shapeId="2062" r:id="rId22" name="OptionButton14"/>
      </mc:Fallback>
    </mc:AlternateContent>
    <mc:AlternateContent xmlns:mc="http://schemas.openxmlformats.org/markup-compatibility/2006">
      <mc:Choice Requires="x14">
        <control shapeId="2063" r:id="rId23" name="OptionButton15">
          <controlPr autoLine="0" r:id="rId10">
            <anchor moveWithCells="1">
              <from>
                <xdr:col>4</xdr:col>
                <xdr:colOff>2819400</xdr:colOff>
                <xdr:row>11</xdr:row>
                <xdr:rowOff>1400175</xdr:rowOff>
              </from>
              <to>
                <xdr:col>5</xdr:col>
                <xdr:colOff>38100</xdr:colOff>
                <xdr:row>12</xdr:row>
                <xdr:rowOff>85725</xdr:rowOff>
              </to>
            </anchor>
          </controlPr>
        </control>
      </mc:Choice>
      <mc:Fallback>
        <control shapeId="2063" r:id="rId23" name="OptionButton15"/>
      </mc:Fallback>
    </mc:AlternateContent>
    <mc:AlternateContent xmlns:mc="http://schemas.openxmlformats.org/markup-compatibility/2006">
      <mc:Choice Requires="x14">
        <control shapeId="2064" r:id="rId24" name="OptionButton16">
          <controlPr autoLine="0" r:id="rId15">
            <anchor moveWithCells="1">
              <from>
                <xdr:col>5</xdr:col>
                <xdr:colOff>2819400</xdr:colOff>
                <xdr:row>11</xdr:row>
                <xdr:rowOff>1390650</xdr:rowOff>
              </from>
              <to>
                <xdr:col>6</xdr:col>
                <xdr:colOff>28575</xdr:colOff>
                <xdr:row>12</xdr:row>
                <xdr:rowOff>76200</xdr:rowOff>
              </to>
            </anchor>
          </controlPr>
        </control>
      </mc:Choice>
      <mc:Fallback>
        <control shapeId="2064" r:id="rId24" name="OptionButton16"/>
      </mc:Fallback>
    </mc:AlternateContent>
    <mc:AlternateContent xmlns:mc="http://schemas.openxmlformats.org/markup-compatibility/2006">
      <mc:Choice Requires="x14">
        <control shapeId="2065" r:id="rId25" name="Ocultar_Instrucciones">
          <controlPr defaultSize="0" autoLine="0" autoPict="0" r:id="rId26">
            <anchor moveWithCells="1">
              <from>
                <xdr:col>6</xdr:col>
                <xdr:colOff>38100</xdr:colOff>
                <xdr:row>0</xdr:row>
                <xdr:rowOff>19050</xdr:rowOff>
              </from>
              <to>
                <xdr:col>6</xdr:col>
                <xdr:colOff>952500</xdr:colOff>
                <xdr:row>1</xdr:row>
                <xdr:rowOff>247650</xdr:rowOff>
              </to>
            </anchor>
          </controlPr>
        </control>
      </mc:Choice>
      <mc:Fallback>
        <control shapeId="2065" r:id="rId25" name="Ocultar_Instrucciones"/>
      </mc:Fallback>
    </mc:AlternateContent>
    <mc:AlternateContent xmlns:mc="http://schemas.openxmlformats.org/markup-compatibility/2006">
      <mc:Choice Requires="x14">
        <control shapeId="2066" r:id="rId27" name="Mostrar_Instrucciones">
          <controlPr defaultSize="0" autoLine="0" r:id="rId28">
            <anchor moveWithCells="1">
              <from>
                <xdr:col>6</xdr:col>
                <xdr:colOff>1028700</xdr:colOff>
                <xdr:row>0</xdr:row>
                <xdr:rowOff>19050</xdr:rowOff>
              </from>
              <to>
                <xdr:col>13</xdr:col>
                <xdr:colOff>0</xdr:colOff>
                <xdr:row>1</xdr:row>
                <xdr:rowOff>247650</xdr:rowOff>
              </to>
            </anchor>
          </controlPr>
        </control>
      </mc:Choice>
      <mc:Fallback>
        <control shapeId="2066" r:id="rId27" name="Mostrar_Instrucciones"/>
      </mc:Fallback>
    </mc:AlternateContent>
    <mc:AlternateContent xmlns:mc="http://schemas.openxmlformats.org/markup-compatibility/2006">
      <mc:Choice Requires="x14">
        <control shapeId="2068" r:id="rId29" name="Limpiar">
          <controlPr defaultSize="0" autoLine="0" r:id="rId30">
            <anchor moveWithCells="1">
              <from>
                <xdr:col>6</xdr:col>
                <xdr:colOff>95250</xdr:colOff>
                <xdr:row>8</xdr:row>
                <xdr:rowOff>1181100</xdr:rowOff>
              </from>
              <to>
                <xdr:col>6</xdr:col>
                <xdr:colOff>1933575</xdr:colOff>
                <xdr:row>9</xdr:row>
                <xdr:rowOff>142875</xdr:rowOff>
              </to>
            </anchor>
          </controlPr>
        </control>
      </mc:Choice>
      <mc:Fallback>
        <control shapeId="2068" r:id="rId29" name="Limpiar"/>
      </mc:Fallback>
    </mc:AlternateContent>
    <mc:AlternateContent xmlns:mc="http://schemas.openxmlformats.org/markup-compatibility/2006">
      <mc:Choice Requires="x14">
        <control shapeId="2070" r:id="rId31" name="Copiar">
          <controlPr defaultSize="0" autoLine="0" r:id="rId32">
            <anchor moveWithCells="1">
              <from>
                <xdr:col>6</xdr:col>
                <xdr:colOff>76200</xdr:colOff>
                <xdr:row>7</xdr:row>
                <xdr:rowOff>238125</xdr:rowOff>
              </from>
              <to>
                <xdr:col>6</xdr:col>
                <xdr:colOff>1924050</xdr:colOff>
                <xdr:row>8</xdr:row>
                <xdr:rowOff>514350</xdr:rowOff>
              </to>
            </anchor>
          </controlPr>
        </control>
      </mc:Choice>
      <mc:Fallback>
        <control shapeId="2070" r:id="rId31" name="Copiar"/>
      </mc:Fallback>
    </mc:AlternateContent>
    <mc:AlternateContent xmlns:mc="http://schemas.openxmlformats.org/markup-compatibility/2006">
      <mc:Choice Requires="x14">
        <control shapeId="2074" r:id="rId33" name="Registrar">
          <controlPr defaultSize="0" autoLine="0" r:id="rId34">
            <anchor moveWithCells="1">
              <from>
                <xdr:col>6</xdr:col>
                <xdr:colOff>76200</xdr:colOff>
                <xdr:row>5</xdr:row>
                <xdr:rowOff>247650</xdr:rowOff>
              </from>
              <to>
                <xdr:col>6</xdr:col>
                <xdr:colOff>1924050</xdr:colOff>
                <xdr:row>7</xdr:row>
                <xdr:rowOff>209550</xdr:rowOff>
              </to>
            </anchor>
          </controlPr>
        </control>
      </mc:Choice>
      <mc:Fallback>
        <control shapeId="2074" r:id="rId33" name="Registrar"/>
      </mc:Fallback>
    </mc:AlternateContent>
    <mc:AlternateContent xmlns:mc="http://schemas.openxmlformats.org/markup-compatibility/2006">
      <mc:Choice Requires="x14">
        <control shapeId="2076" r:id="rId35" name="PDF">
          <controlPr defaultSize="0" autoLine="0" r:id="rId36">
            <anchor moveWithCells="1">
              <from>
                <xdr:col>6</xdr:col>
                <xdr:colOff>76200</xdr:colOff>
                <xdr:row>8</xdr:row>
                <xdr:rowOff>561975</xdr:rowOff>
              </from>
              <to>
                <xdr:col>6</xdr:col>
                <xdr:colOff>1933575</xdr:colOff>
                <xdr:row>8</xdr:row>
                <xdr:rowOff>1133475</xdr:rowOff>
              </to>
            </anchor>
          </controlPr>
        </control>
      </mc:Choice>
      <mc:Fallback>
        <control shapeId="2076" r:id="rId35" name="PDF"/>
      </mc:Fallback>
    </mc:AlternateContent>
    <mc:AlternateContent xmlns:mc="http://schemas.openxmlformats.org/markup-compatibility/2006">
      <mc:Choice Requires="x14">
        <control shapeId="2078" r:id="rId37" name="Finalizar_Registro">
          <controlPr defaultSize="0" autoLine="0" autoPict="0" r:id="rId38">
            <anchor moveWithCells="1">
              <from>
                <xdr:col>6</xdr:col>
                <xdr:colOff>104775</xdr:colOff>
                <xdr:row>9</xdr:row>
                <xdr:rowOff>609600</xdr:rowOff>
              </from>
              <to>
                <xdr:col>7</xdr:col>
                <xdr:colOff>0</xdr:colOff>
                <xdr:row>10</xdr:row>
                <xdr:rowOff>409575</xdr:rowOff>
              </to>
            </anchor>
          </controlPr>
        </control>
      </mc:Choice>
      <mc:Fallback>
        <control shapeId="2078" r:id="rId37" name="Finalizar_Registro"/>
      </mc:Fallback>
    </mc:AlternateContent>
    <mc:AlternateContent xmlns:mc="http://schemas.openxmlformats.org/markup-compatibility/2006">
      <mc:Choice Requires="x14">
        <control shapeId="2082" r:id="rId39" name="OptionButton17">
          <controlPr autoLine="0" r:id="rId5">
            <anchor moveWithCells="1">
              <from>
                <xdr:col>2</xdr:col>
                <xdr:colOff>2790825</xdr:colOff>
                <xdr:row>12</xdr:row>
                <xdr:rowOff>1390650</xdr:rowOff>
              </from>
              <to>
                <xdr:col>3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2082" r:id="rId39" name="OptionButton17"/>
      </mc:Fallback>
    </mc:AlternateContent>
    <mc:AlternateContent xmlns:mc="http://schemas.openxmlformats.org/markup-compatibility/2006">
      <mc:Choice Requires="x14">
        <control shapeId="2083" r:id="rId40" name="OptionButton18">
          <controlPr autoLine="0" r:id="rId7">
            <anchor moveWithCells="1">
              <from>
                <xdr:col>3</xdr:col>
                <xdr:colOff>2790825</xdr:colOff>
                <xdr:row>12</xdr:row>
                <xdr:rowOff>1381125</xdr:rowOff>
              </from>
              <to>
                <xdr:col>4</xdr:col>
                <xdr:colOff>19050</xdr:colOff>
                <xdr:row>13</xdr:row>
                <xdr:rowOff>66675</xdr:rowOff>
              </to>
            </anchor>
          </controlPr>
        </control>
      </mc:Choice>
      <mc:Fallback>
        <control shapeId="2083" r:id="rId40" name="OptionButton18"/>
      </mc:Fallback>
    </mc:AlternateContent>
    <mc:AlternateContent xmlns:mc="http://schemas.openxmlformats.org/markup-compatibility/2006">
      <mc:Choice Requires="x14">
        <control shapeId="2084" r:id="rId41" name="OptionButton19">
          <controlPr autoLine="0" r:id="rId7">
            <anchor moveWithCells="1">
              <from>
                <xdr:col>4</xdr:col>
                <xdr:colOff>2800350</xdr:colOff>
                <xdr:row>12</xdr:row>
                <xdr:rowOff>1390650</xdr:rowOff>
              </from>
              <to>
                <xdr:col>5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2084" r:id="rId41" name="OptionButton19"/>
      </mc:Fallback>
    </mc:AlternateContent>
    <mc:AlternateContent xmlns:mc="http://schemas.openxmlformats.org/markup-compatibility/2006">
      <mc:Choice Requires="x14">
        <control shapeId="2085" r:id="rId42" name="OptionButton20">
          <controlPr autoLine="0" r:id="rId10">
            <anchor moveWithCells="1">
              <from>
                <xdr:col>5</xdr:col>
                <xdr:colOff>2800350</xdr:colOff>
                <xdr:row>12</xdr:row>
                <xdr:rowOff>1381125</xdr:rowOff>
              </from>
              <to>
                <xdr:col>6</xdr:col>
                <xdr:colOff>19050</xdr:colOff>
                <xdr:row>13</xdr:row>
                <xdr:rowOff>66675</xdr:rowOff>
              </to>
            </anchor>
          </controlPr>
        </control>
      </mc:Choice>
      <mc:Fallback>
        <control shapeId="2085" r:id="rId42" name="OptionButton20"/>
      </mc:Fallback>
    </mc:AlternateContent>
    <mc:AlternateContent xmlns:mc="http://schemas.openxmlformats.org/markup-compatibility/2006">
      <mc:Choice Requires="x14">
        <control shapeId="2086" r:id="rId43" name="OptionButton21">
          <controlPr autoLine="0" r:id="rId5">
            <anchor moveWithCells="1">
              <from>
                <xdr:col>2</xdr:col>
                <xdr:colOff>2790825</xdr:colOff>
                <xdr:row>13</xdr:row>
                <xdr:rowOff>1390650</xdr:rowOff>
              </from>
              <to>
                <xdr:col>3</xdr:col>
                <xdr:colOff>28575</xdr:colOff>
                <xdr:row>14</xdr:row>
                <xdr:rowOff>76200</xdr:rowOff>
              </to>
            </anchor>
          </controlPr>
        </control>
      </mc:Choice>
      <mc:Fallback>
        <control shapeId="2086" r:id="rId43" name="OptionButton21"/>
      </mc:Fallback>
    </mc:AlternateContent>
    <mc:AlternateContent xmlns:mc="http://schemas.openxmlformats.org/markup-compatibility/2006">
      <mc:Choice Requires="x14">
        <control shapeId="2087" r:id="rId44" name="OptionButton22">
          <controlPr autoLine="0" r:id="rId7">
            <anchor moveWithCells="1">
              <from>
                <xdr:col>3</xdr:col>
                <xdr:colOff>2790825</xdr:colOff>
                <xdr:row>13</xdr:row>
                <xdr:rowOff>1381125</xdr:rowOff>
              </from>
              <to>
                <xdr:col>4</xdr:col>
                <xdr:colOff>19050</xdr:colOff>
                <xdr:row>14</xdr:row>
                <xdr:rowOff>66675</xdr:rowOff>
              </to>
            </anchor>
          </controlPr>
        </control>
      </mc:Choice>
      <mc:Fallback>
        <control shapeId="2087" r:id="rId44" name="OptionButton22"/>
      </mc:Fallback>
    </mc:AlternateContent>
    <mc:AlternateContent xmlns:mc="http://schemas.openxmlformats.org/markup-compatibility/2006">
      <mc:Choice Requires="x14">
        <control shapeId="2088" r:id="rId45" name="OptionButton23">
          <controlPr autoLine="0" r:id="rId7">
            <anchor moveWithCells="1">
              <from>
                <xdr:col>4</xdr:col>
                <xdr:colOff>2800350</xdr:colOff>
                <xdr:row>13</xdr:row>
                <xdr:rowOff>1390650</xdr:rowOff>
              </from>
              <to>
                <xdr:col>5</xdr:col>
                <xdr:colOff>28575</xdr:colOff>
                <xdr:row>14</xdr:row>
                <xdr:rowOff>76200</xdr:rowOff>
              </to>
            </anchor>
          </controlPr>
        </control>
      </mc:Choice>
      <mc:Fallback>
        <control shapeId="2088" r:id="rId45" name="OptionButton23"/>
      </mc:Fallback>
    </mc:AlternateContent>
    <mc:AlternateContent xmlns:mc="http://schemas.openxmlformats.org/markup-compatibility/2006">
      <mc:Choice Requires="x14">
        <control shapeId="2089" r:id="rId46" name="OptionButton24">
          <controlPr autoLine="0" r:id="rId10">
            <anchor moveWithCells="1">
              <from>
                <xdr:col>5</xdr:col>
                <xdr:colOff>2800350</xdr:colOff>
                <xdr:row>13</xdr:row>
                <xdr:rowOff>1381125</xdr:rowOff>
              </from>
              <to>
                <xdr:col>6</xdr:col>
                <xdr:colOff>19050</xdr:colOff>
                <xdr:row>14</xdr:row>
                <xdr:rowOff>66675</xdr:rowOff>
              </to>
            </anchor>
          </controlPr>
        </control>
      </mc:Choice>
      <mc:Fallback>
        <control shapeId="2089" r:id="rId46" name="OptionButton2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'STUDENTS LIST'!$C$2:$C$40</xm:f>
          </x14:formula1>
          <xm:sqref>B5:F5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B1:Y81"/>
  <sheetViews>
    <sheetView showGridLines="0" topLeftCell="B1" zoomScale="85" zoomScaleNormal="85" workbookViewId="0">
      <selection activeCell="B2" sqref="B2:Y2"/>
    </sheetView>
  </sheetViews>
  <sheetFormatPr baseColWidth="10" defaultColWidth="11.42578125" defaultRowHeight="15" customHeight="1" x14ac:dyDescent="0.25"/>
  <cols>
    <col min="1" max="1" width="3.28515625" style="31" customWidth="1"/>
    <col min="2" max="2" width="13.85546875" style="31" customWidth="1"/>
    <col min="3" max="3" width="11.28515625" style="31" customWidth="1"/>
    <col min="4" max="4" width="39.5703125" style="31" bestFit="1" customWidth="1"/>
    <col min="5" max="5" width="10.140625" style="31" customWidth="1"/>
    <col min="6" max="7" width="11.7109375" style="31" customWidth="1"/>
    <col min="8" max="8" width="11.85546875" style="31" customWidth="1"/>
    <col min="9" max="9" width="5.7109375" style="31" customWidth="1"/>
    <col min="10" max="10" width="10.28515625" style="31" customWidth="1"/>
    <col min="11" max="11" width="11.85546875" style="31" customWidth="1"/>
    <col min="12" max="12" width="5.7109375" style="31" customWidth="1"/>
    <col min="13" max="13" width="11.7109375" style="31" customWidth="1"/>
    <col min="14" max="14" width="11.85546875" style="31" customWidth="1"/>
    <col min="15" max="15" width="5.7109375" style="31" customWidth="1"/>
    <col min="16" max="16" width="11.140625" style="31" customWidth="1"/>
    <col min="17" max="17" width="12" style="31" customWidth="1"/>
    <col min="18" max="18" width="5.7109375" style="31" customWidth="1"/>
    <col min="19" max="19" width="11.140625" style="31" customWidth="1"/>
    <col min="20" max="20" width="12.5703125" style="31" customWidth="1"/>
    <col min="21" max="21" width="5.7109375" style="31" customWidth="1"/>
    <col min="22" max="22" width="10.28515625" style="31" customWidth="1"/>
    <col min="23" max="23" width="11.85546875" style="31" customWidth="1"/>
    <col min="24" max="24" width="5.7109375" style="31" customWidth="1"/>
    <col min="25" max="26" width="12.42578125" style="31" customWidth="1"/>
    <col min="27" max="16384" width="11.42578125" style="31"/>
  </cols>
  <sheetData>
    <row r="1" spans="2:25" s="106" customFormat="1" ht="18.75" x14ac:dyDescent="0.3">
      <c r="B1" s="159" t="s">
        <v>30</v>
      </c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</row>
    <row r="2" spans="2:25" ht="33" customHeight="1" x14ac:dyDescent="0.25">
      <c r="B2" s="160" t="str">
        <f>+RUBRIC!A1&amp;":"&amp;" "&amp;RUBRIC!B1</f>
        <v>RA4: Participar eficazmente en un equipo de trabajo,  a través de la creación de un entorno colaborativo e inclusivo que permita apoyar en el cumplimiento de objetivos y organización de trabajos.</v>
      </c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</row>
    <row r="3" spans="2:25" ht="6" customHeight="1" x14ac:dyDescent="0.25"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</row>
    <row r="4" spans="2:25" ht="27.75" customHeight="1" x14ac:dyDescent="0.25">
      <c r="B4" s="142" t="s">
        <v>31</v>
      </c>
      <c r="C4" s="142"/>
      <c r="D4" s="103" t="s">
        <v>32</v>
      </c>
      <c r="E4" s="104" t="s">
        <v>33</v>
      </c>
      <c r="I4" s="33" t="s">
        <v>34</v>
      </c>
      <c r="J4" s="33" t="s">
        <v>34</v>
      </c>
      <c r="K4" s="33" t="s">
        <v>34</v>
      </c>
      <c r="O4" s="34"/>
      <c r="P4" s="34"/>
      <c r="Q4" s="34"/>
      <c r="R4" s="34"/>
      <c r="S4" s="34"/>
      <c r="T4" s="34"/>
      <c r="U4" s="34"/>
      <c r="V4" s="34"/>
      <c r="W4" s="34"/>
      <c r="X4" s="34"/>
    </row>
    <row r="5" spans="2:25" ht="39.950000000000003" customHeight="1" x14ac:dyDescent="0.25">
      <c r="B5" s="143" t="s">
        <v>35</v>
      </c>
      <c r="C5" s="144"/>
      <c r="D5" s="105" t="s">
        <v>36</v>
      </c>
      <c r="E5" s="105">
        <f>+COUNTA(Estudiantes)</f>
        <v>0</v>
      </c>
      <c r="H5" s="35" t="s">
        <v>4</v>
      </c>
      <c r="I5" s="36">
        <f>+RUBRIC!C7</f>
        <v>1</v>
      </c>
      <c r="J5" s="92" t="str">
        <f>+"0% - "&amp;(I6/5)*100&amp;"%"</f>
        <v>0% - 40%</v>
      </c>
      <c r="K5" s="36" t="str">
        <f>+"0 -"&amp;I6</f>
        <v>0 -2</v>
      </c>
      <c r="O5" s="34"/>
      <c r="P5" s="34"/>
      <c r="Q5" s="34"/>
      <c r="R5" s="34"/>
      <c r="S5" s="34"/>
      <c r="T5" s="34"/>
      <c r="U5" s="34"/>
      <c r="V5" s="34"/>
      <c r="W5" s="34"/>
      <c r="X5" s="34"/>
    </row>
    <row r="6" spans="2:25" ht="15" customHeight="1" x14ac:dyDescent="0.25">
      <c r="B6" s="37"/>
      <c r="C6" s="38"/>
      <c r="D6" s="37"/>
      <c r="E6" s="37"/>
      <c r="H6" s="39" t="s">
        <v>8</v>
      </c>
      <c r="I6" s="40">
        <f>+RUBRIC!D7</f>
        <v>2</v>
      </c>
      <c r="J6" s="93" t="str">
        <f>+(((I6+0.1)/5)*100)&amp;"% - "&amp;(3/5*100)&amp;"%"</f>
        <v>42% - 60%</v>
      </c>
      <c r="K6" s="40" t="str">
        <f>+I6+0.1&amp;" - "&amp;3</f>
        <v>2,1 - 3</v>
      </c>
      <c r="O6" s="34"/>
      <c r="P6" s="34"/>
      <c r="Q6" s="34"/>
      <c r="R6" s="34"/>
      <c r="S6" s="34"/>
      <c r="T6" s="34"/>
      <c r="U6" s="34"/>
      <c r="V6" s="34"/>
      <c r="W6" s="34"/>
      <c r="X6" s="34"/>
    </row>
    <row r="7" spans="2:25" x14ac:dyDescent="0.25">
      <c r="B7" s="142" t="s">
        <v>37</v>
      </c>
      <c r="C7" s="142"/>
      <c r="D7" s="143" t="s">
        <v>38</v>
      </c>
      <c r="E7" s="143"/>
      <c r="H7" s="41" t="s">
        <v>10</v>
      </c>
      <c r="I7" s="42">
        <f>+RUBRIC!E7</f>
        <v>4</v>
      </c>
      <c r="J7" s="94" t="str">
        <f>+(((3.1/5)*100)&amp;"% - "&amp;(I7/5)*100&amp;"%")</f>
        <v>62% - 80%</v>
      </c>
      <c r="K7" s="42" t="str">
        <f>+"3,1 - "&amp;I7</f>
        <v>3,1 - 4</v>
      </c>
      <c r="O7" s="34"/>
      <c r="P7" s="34"/>
      <c r="Q7" s="34"/>
      <c r="R7" s="34"/>
      <c r="S7" s="34"/>
      <c r="T7" s="34"/>
      <c r="U7" s="34"/>
      <c r="V7" s="34"/>
      <c r="W7" s="34"/>
      <c r="X7" s="34"/>
    </row>
    <row r="8" spans="2:25" x14ac:dyDescent="0.25">
      <c r="B8" s="142" t="s">
        <v>39</v>
      </c>
      <c r="C8" s="142"/>
      <c r="D8" s="143" t="s">
        <v>40</v>
      </c>
      <c r="E8" s="143"/>
      <c r="H8" s="43" t="s">
        <v>16</v>
      </c>
      <c r="I8" s="44">
        <f>+RUBRIC!F7</f>
        <v>5</v>
      </c>
      <c r="J8" s="95" t="str">
        <f>+((I7+0.1)/5)*100&amp;"% - "&amp;"100%"</f>
        <v>82% - 100%</v>
      </c>
      <c r="K8" s="44" t="str">
        <f>+I7+0.1&amp;" - "&amp;I8</f>
        <v>4,1 - 5</v>
      </c>
      <c r="O8" s="34"/>
      <c r="P8" s="34"/>
      <c r="Q8" s="34"/>
      <c r="R8" s="34"/>
      <c r="S8" s="34"/>
      <c r="T8" s="34"/>
      <c r="U8" s="34"/>
      <c r="V8" s="34"/>
      <c r="W8" s="34"/>
      <c r="X8" s="34"/>
    </row>
    <row r="9" spans="2:25" ht="11.25" customHeight="1" thickBot="1" x14ac:dyDescent="0.3">
      <c r="B9" s="45"/>
      <c r="C9" s="45"/>
      <c r="D9" s="37"/>
      <c r="E9" s="37"/>
      <c r="F9" s="37"/>
      <c r="G9" s="37"/>
      <c r="H9" s="37"/>
      <c r="I9" s="37"/>
      <c r="J9" s="34"/>
      <c r="K9" s="34"/>
      <c r="L9" s="34"/>
      <c r="O9" s="34"/>
      <c r="P9" s="34"/>
      <c r="Q9" s="34"/>
      <c r="R9" s="34"/>
      <c r="S9" s="34"/>
      <c r="T9" s="34"/>
      <c r="U9" s="34"/>
      <c r="V9" s="34"/>
      <c r="W9" s="34"/>
      <c r="X9" s="34"/>
    </row>
    <row r="10" spans="2:25" ht="11.25" customHeight="1" x14ac:dyDescent="0.25">
      <c r="B10" s="150" t="s">
        <v>193</v>
      </c>
      <c r="C10" s="151"/>
      <c r="D10" s="151"/>
      <c r="E10" s="151"/>
      <c r="F10" s="151"/>
      <c r="G10" s="152"/>
      <c r="H10" s="161" t="s">
        <v>41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</row>
    <row r="11" spans="2:25" ht="11.25" customHeight="1" x14ac:dyDescent="0.25">
      <c r="B11" s="153"/>
      <c r="C11" s="154"/>
      <c r="D11" s="154"/>
      <c r="E11" s="154"/>
      <c r="F11" s="154"/>
      <c r="G11" s="155"/>
      <c r="H11" s="148" t="s">
        <v>42</v>
      </c>
      <c r="I11" s="148"/>
      <c r="J11" s="149"/>
      <c r="K11" s="147" t="s">
        <v>43</v>
      </c>
      <c r="L11" s="148"/>
      <c r="M11" s="149"/>
      <c r="N11" s="147" t="s">
        <v>44</v>
      </c>
      <c r="O11" s="148"/>
      <c r="P11" s="149"/>
      <c r="Q11" s="147" t="s">
        <v>45</v>
      </c>
      <c r="R11" s="148"/>
      <c r="S11" s="149"/>
      <c r="T11" s="147" t="s">
        <v>46</v>
      </c>
      <c r="U11" s="148"/>
      <c r="V11" s="149"/>
      <c r="W11" s="147" t="s">
        <v>47</v>
      </c>
      <c r="X11" s="148"/>
      <c r="Y11" s="149"/>
    </row>
    <row r="12" spans="2:25" ht="123" customHeight="1" thickBot="1" x14ac:dyDescent="0.3">
      <c r="B12" s="156"/>
      <c r="C12" s="157"/>
      <c r="D12" s="157"/>
      <c r="E12" s="157"/>
      <c r="F12" s="157"/>
      <c r="G12" s="158"/>
      <c r="H12" s="132" t="str">
        <f>IF(RUBRIC!A9=0," ",RUBRIC!A9)</f>
        <v>Explicar su punto de vista respetando el de los demás infiriendo conclusiones que beneficien el trabajo colaborativo e inclusivo.</v>
      </c>
      <c r="I12" s="132"/>
      <c r="J12" s="110">
        <f>+RUBRIC!B9</f>
        <v>0</v>
      </c>
      <c r="K12" s="131" t="str">
        <f>IF(RUBRIC!A10=0," ",RUBRIC!A10)</f>
        <v>Planificar y construir su propio procedimiento de trabajo, estableciendo objetivos, tareas, roles y compromisos de los miembros del equipo.</v>
      </c>
      <c r="L12" s="132"/>
      <c r="M12" s="110">
        <f>+RUBRIC!B10</f>
        <v>0</v>
      </c>
      <c r="N12" s="131" t="str">
        <f>IF(RUBRIC!A11=0," ",RUBRIC!A11)</f>
        <v>Diseñar la solución, a través de modelos, que satisfaga las necesidades, problemas y oportunidades identificadas  en la gestión de la cadena de valor. (Estructura, Pertinencia)</v>
      </c>
      <c r="O12" s="132"/>
      <c r="P12" s="110">
        <f>+RUBRIC!B11</f>
        <v>0</v>
      </c>
      <c r="Q12" s="131" t="str">
        <f>IF(RUBRIC!A12=0," ",RUBRIC!A12)</f>
        <v>Integrar los aportes de los miembros para cumplir los objetivos.</v>
      </c>
      <c r="R12" s="132"/>
      <c r="S12" s="110">
        <f>+RUBRIC!B12</f>
        <v>0</v>
      </c>
      <c r="T12" s="131" t="str">
        <f>IF(RUBRIC!A13=0," ",RUBRIC!A13)</f>
        <v xml:space="preserve"> </v>
      </c>
      <c r="U12" s="132"/>
      <c r="V12" s="57">
        <f>+RUBRIC!B13</f>
        <v>0</v>
      </c>
      <c r="W12" s="162" t="str">
        <f>IF(RUBRIC!A14=0," ",RUBRIC!A14)</f>
        <v xml:space="preserve"> </v>
      </c>
      <c r="X12" s="163"/>
      <c r="Y12" s="57">
        <f>+RUBRIC!B14</f>
        <v>0</v>
      </c>
    </row>
    <row r="13" spans="2:25" ht="31.5" customHeight="1" x14ac:dyDescent="0.25">
      <c r="B13" s="111" t="s">
        <v>0</v>
      </c>
      <c r="C13" s="111" t="s">
        <v>48</v>
      </c>
      <c r="D13" s="111" t="s">
        <v>49</v>
      </c>
      <c r="E13" s="55" t="s">
        <v>50</v>
      </c>
      <c r="F13" s="55" t="s">
        <v>51</v>
      </c>
      <c r="G13" s="55" t="s">
        <v>52</v>
      </c>
      <c r="H13" s="56" t="s">
        <v>53</v>
      </c>
      <c r="I13" s="56" t="s">
        <v>54</v>
      </c>
      <c r="J13" s="56" t="s">
        <v>55</v>
      </c>
      <c r="K13" s="56" t="s">
        <v>53</v>
      </c>
      <c r="L13" s="56" t="s">
        <v>56</v>
      </c>
      <c r="M13" s="56" t="s">
        <v>57</v>
      </c>
      <c r="N13" s="56" t="s">
        <v>53</v>
      </c>
      <c r="O13" s="56" t="s">
        <v>58</v>
      </c>
      <c r="P13" s="56" t="s">
        <v>59</v>
      </c>
      <c r="Q13" s="56" t="s">
        <v>53</v>
      </c>
      <c r="R13" s="56" t="s">
        <v>60</v>
      </c>
      <c r="S13" s="56" t="s">
        <v>61</v>
      </c>
      <c r="T13" s="56" t="s">
        <v>53</v>
      </c>
      <c r="U13" s="56" t="s">
        <v>60</v>
      </c>
      <c r="V13" s="56" t="s">
        <v>61</v>
      </c>
      <c r="W13" s="56" t="s">
        <v>53</v>
      </c>
      <c r="X13" s="56" t="s">
        <v>60</v>
      </c>
      <c r="Y13" s="56" t="s">
        <v>61</v>
      </c>
    </row>
    <row r="14" spans="2:25" ht="15" customHeight="1" x14ac:dyDescent="0.25">
      <c r="B14" s="46"/>
      <c r="C14" s="46"/>
      <c r="D14" s="47"/>
      <c r="E14" s="58">
        <f>+J14+M14+P14+S14+V14+Y14</f>
        <v>0</v>
      </c>
      <c r="F14" s="85" t="str">
        <f>IF(E14=0," ",IF(E14&lt;$I$6,$H$5,IF(E14&lt;=3,$H$6,IF(E14&lt;=$I$7,$H$7,IF(E14&lt;=$I$8,$H$8)))))</f>
        <v xml:space="preserve"> </v>
      </c>
      <c r="G14" s="85" t="str">
        <f>IF(F14=" "," ",IF(F14=$H$5,"Low",IF(F14=$H$6,"Low",IF(F14=$H$7,"Medium",IF(F14=$H$8,"High")))))</f>
        <v xml:space="preserve"> </v>
      </c>
      <c r="H14" s="85" t="str">
        <f t="shared" ref="H14:H53" si="0">+IF(I14="","",IF(I14&lt;$I$6,$H$5,IF(I14&lt;=3,$H$6,IF(I14&lt;=$I$7,$H$7,IF(I14&lt;=$I$8,$H$8)))))</f>
        <v/>
      </c>
      <c r="I14" s="109"/>
      <c r="J14" s="108">
        <f>+I14*$J$12</f>
        <v>0</v>
      </c>
      <c r="K14" s="85" t="str">
        <f t="shared" ref="K14:K53" si="1">+IF(L14="","",IF(L14&lt;$I$6,$H$5,IF(L14&lt;=3,$H$6,IF(L14&lt;=$I$7,$H$7,IF(L14&lt;=$I$8,$H$8)))))</f>
        <v/>
      </c>
      <c r="L14" s="109"/>
      <c r="M14" s="108">
        <f>+L14*$M$12</f>
        <v>0</v>
      </c>
      <c r="N14" s="85" t="str">
        <f t="shared" ref="N14:N53" si="2">+IF(O14="","",IF(O14&lt;$I$6,$H$5,IF(O14&lt;=3,$H$6,IF(O14&lt;=$I$7,$H$7,IF(O14&lt;=$I$8,$H$8)))))</f>
        <v/>
      </c>
      <c r="O14" s="109"/>
      <c r="P14" s="108">
        <f>+O14*$P$12</f>
        <v>0</v>
      </c>
      <c r="Q14" s="85" t="str">
        <f t="shared" ref="Q14:Q53" si="3">+IF(R14="","",IF(R14&lt;$I$6,$H$5,IF(R14&lt;=3,$H$6,IF(R14&lt;=$I$7,$H$7,IF(R14&lt;=$I$8,$H$8)))))</f>
        <v/>
      </c>
      <c r="R14" s="109"/>
      <c r="S14" s="108">
        <f t="shared" ref="S14:S53" si="4">+R14*$S$12</f>
        <v>0</v>
      </c>
      <c r="T14" s="85" t="str">
        <f t="shared" ref="T14:T53" si="5">+IF(U14="","",IF(U14&lt;$I$6,$H$5,IF(U14&lt;=3,$H$6,IF(U14&lt;=$I$7,$H$7,IF(U14&lt;=$I$8,$H$8)))))</f>
        <v/>
      </c>
      <c r="U14" s="86"/>
      <c r="V14" s="59">
        <f>+U14*$V$12</f>
        <v>0</v>
      </c>
      <c r="W14" s="85" t="str">
        <f t="shared" ref="W14:W53" si="6">+IF(X14="","",IF(X14&lt;$I$6,$H$5,IF(X14&lt;=3,$H$6,IF(X14&lt;=$I$7,$H$7,IF(X14&lt;=$I$8,$H$8)))))</f>
        <v/>
      </c>
      <c r="X14" s="86"/>
      <c r="Y14" s="59">
        <f>+X14*$Y$12</f>
        <v>0</v>
      </c>
    </row>
    <row r="15" spans="2:25" ht="15" customHeight="1" x14ac:dyDescent="0.25">
      <c r="B15" s="46"/>
      <c r="C15" s="46"/>
      <c r="D15" s="47"/>
      <c r="E15" s="58">
        <f t="shared" ref="E15:E53" si="7">+J15+M15+P15+S15+V15+Y15</f>
        <v>0</v>
      </c>
      <c r="F15" s="85" t="str">
        <f t="shared" ref="F15:F53" si="8">IF(E15=0," ",IF(E15&lt;$I$6,$H$5,IF(E15&lt;=3,$H$6,IF(E15&lt;=$I$7,$H$7,IF(E15&lt;=$I$8,$H$8)))))</f>
        <v xml:space="preserve"> </v>
      </c>
      <c r="G15" s="85" t="str">
        <f t="shared" ref="G15:G53" si="9">IF(F15=" "," ",IF(F15=$H$5,"Low",IF(F15=$H$6,"Low",IF(F15=$H$7,"Medium",IF(F15=$H$8,"High")))))</f>
        <v xml:space="preserve"> </v>
      </c>
      <c r="H15" s="85" t="str">
        <f t="shared" si="0"/>
        <v/>
      </c>
      <c r="I15" s="109"/>
      <c r="J15" s="108">
        <f t="shared" ref="J15:J53" si="10">+I15*$J$12</f>
        <v>0</v>
      </c>
      <c r="K15" s="85" t="str">
        <f t="shared" si="1"/>
        <v/>
      </c>
      <c r="L15" s="109"/>
      <c r="M15" s="108">
        <f t="shared" ref="M15:M16" si="11">+L15*$M$12</f>
        <v>0</v>
      </c>
      <c r="N15" s="85" t="str">
        <f t="shared" si="2"/>
        <v/>
      </c>
      <c r="O15" s="109"/>
      <c r="P15" s="108">
        <f t="shared" ref="P15:P53" si="12">+O15*$P$12</f>
        <v>0</v>
      </c>
      <c r="Q15" s="85" t="str">
        <f t="shared" si="3"/>
        <v/>
      </c>
      <c r="R15" s="109"/>
      <c r="S15" s="108">
        <f t="shared" si="4"/>
        <v>0</v>
      </c>
      <c r="T15" s="85" t="str">
        <f t="shared" si="5"/>
        <v/>
      </c>
      <c r="U15" s="86"/>
      <c r="V15" s="59">
        <f t="shared" ref="V15:V53" si="13">+U15*$V$12</f>
        <v>0</v>
      </c>
      <c r="W15" s="85" t="str">
        <f t="shared" si="6"/>
        <v/>
      </c>
      <c r="X15" s="86"/>
      <c r="Y15" s="59">
        <f t="shared" ref="Y15:Y53" si="14">+X15*$Y$12</f>
        <v>0</v>
      </c>
    </row>
    <row r="16" spans="2:25" ht="15" customHeight="1" x14ac:dyDescent="0.25">
      <c r="B16" s="46"/>
      <c r="C16" s="46"/>
      <c r="D16" s="47"/>
      <c r="E16" s="58">
        <f t="shared" si="7"/>
        <v>0</v>
      </c>
      <c r="F16" s="85" t="str">
        <f t="shared" si="8"/>
        <v xml:space="preserve"> </v>
      </c>
      <c r="G16" s="85" t="str">
        <f t="shared" si="9"/>
        <v xml:space="preserve"> </v>
      </c>
      <c r="H16" s="85" t="str">
        <f t="shared" si="0"/>
        <v/>
      </c>
      <c r="I16" s="109"/>
      <c r="J16" s="108">
        <f t="shared" si="10"/>
        <v>0</v>
      </c>
      <c r="K16" s="85" t="str">
        <f t="shared" si="1"/>
        <v/>
      </c>
      <c r="L16" s="109"/>
      <c r="M16" s="108">
        <f t="shared" si="11"/>
        <v>0</v>
      </c>
      <c r="N16" s="85" t="str">
        <f t="shared" si="2"/>
        <v/>
      </c>
      <c r="O16" s="109"/>
      <c r="P16" s="108">
        <f t="shared" si="12"/>
        <v>0</v>
      </c>
      <c r="Q16" s="85" t="str">
        <f t="shared" si="3"/>
        <v/>
      </c>
      <c r="R16" s="109"/>
      <c r="S16" s="108">
        <f t="shared" si="4"/>
        <v>0</v>
      </c>
      <c r="T16" s="85" t="str">
        <f t="shared" si="5"/>
        <v/>
      </c>
      <c r="U16" s="86"/>
      <c r="V16" s="59">
        <f t="shared" si="13"/>
        <v>0</v>
      </c>
      <c r="W16" s="85" t="str">
        <f t="shared" si="6"/>
        <v/>
      </c>
      <c r="X16" s="86"/>
      <c r="Y16" s="59">
        <f t="shared" si="14"/>
        <v>0</v>
      </c>
    </row>
    <row r="17" spans="2:25" ht="15" customHeight="1" x14ac:dyDescent="0.25">
      <c r="B17" s="46"/>
      <c r="C17" s="46"/>
      <c r="D17" s="47"/>
      <c r="E17" s="58">
        <f t="shared" si="7"/>
        <v>0</v>
      </c>
      <c r="F17" s="85" t="str">
        <f t="shared" si="8"/>
        <v xml:space="preserve"> </v>
      </c>
      <c r="G17" s="85" t="str">
        <f t="shared" si="9"/>
        <v xml:space="preserve"> </v>
      </c>
      <c r="H17" s="85" t="str">
        <f t="shared" si="0"/>
        <v/>
      </c>
      <c r="I17" s="109"/>
      <c r="J17" s="108">
        <f t="shared" si="10"/>
        <v>0</v>
      </c>
      <c r="K17" s="85" t="str">
        <f t="shared" si="1"/>
        <v/>
      </c>
      <c r="L17" s="109"/>
      <c r="M17" s="108">
        <f t="shared" ref="M17:M53" si="15">+L17*$M$12</f>
        <v>0</v>
      </c>
      <c r="N17" s="85" t="str">
        <f t="shared" si="2"/>
        <v/>
      </c>
      <c r="O17" s="109"/>
      <c r="P17" s="108">
        <f t="shared" si="12"/>
        <v>0</v>
      </c>
      <c r="Q17" s="85" t="str">
        <f t="shared" si="3"/>
        <v/>
      </c>
      <c r="R17" s="109"/>
      <c r="S17" s="108">
        <f t="shared" si="4"/>
        <v>0</v>
      </c>
      <c r="T17" s="85" t="str">
        <f t="shared" si="5"/>
        <v/>
      </c>
      <c r="U17" s="86"/>
      <c r="V17" s="59">
        <f t="shared" si="13"/>
        <v>0</v>
      </c>
      <c r="W17" s="85" t="str">
        <f t="shared" si="6"/>
        <v/>
      </c>
      <c r="X17" s="86"/>
      <c r="Y17" s="59">
        <f t="shared" si="14"/>
        <v>0</v>
      </c>
    </row>
    <row r="18" spans="2:25" ht="15" customHeight="1" x14ac:dyDescent="0.25">
      <c r="B18" s="46"/>
      <c r="C18" s="46"/>
      <c r="D18" s="47"/>
      <c r="E18" s="58">
        <f t="shared" si="7"/>
        <v>0</v>
      </c>
      <c r="F18" s="85" t="str">
        <f t="shared" si="8"/>
        <v xml:space="preserve"> </v>
      </c>
      <c r="G18" s="85" t="str">
        <f t="shared" si="9"/>
        <v xml:space="preserve"> </v>
      </c>
      <c r="H18" s="85" t="str">
        <f t="shared" si="0"/>
        <v/>
      </c>
      <c r="I18" s="109"/>
      <c r="J18" s="108">
        <f t="shared" si="10"/>
        <v>0</v>
      </c>
      <c r="K18" s="85" t="str">
        <f t="shared" si="1"/>
        <v/>
      </c>
      <c r="L18" s="109"/>
      <c r="M18" s="108">
        <f t="shared" si="15"/>
        <v>0</v>
      </c>
      <c r="N18" s="85" t="str">
        <f t="shared" si="2"/>
        <v/>
      </c>
      <c r="O18" s="109"/>
      <c r="P18" s="108">
        <f t="shared" si="12"/>
        <v>0</v>
      </c>
      <c r="Q18" s="85" t="str">
        <f t="shared" si="3"/>
        <v/>
      </c>
      <c r="R18" s="109"/>
      <c r="S18" s="108">
        <f t="shared" si="4"/>
        <v>0</v>
      </c>
      <c r="T18" s="85" t="str">
        <f t="shared" si="5"/>
        <v/>
      </c>
      <c r="U18" s="86"/>
      <c r="V18" s="59">
        <f t="shared" si="13"/>
        <v>0</v>
      </c>
      <c r="W18" s="85" t="str">
        <f t="shared" si="6"/>
        <v/>
      </c>
      <c r="X18" s="86"/>
      <c r="Y18" s="59">
        <f t="shared" si="14"/>
        <v>0</v>
      </c>
    </row>
    <row r="19" spans="2:25" ht="15" customHeight="1" x14ac:dyDescent="0.25">
      <c r="B19" s="46"/>
      <c r="C19" s="46"/>
      <c r="D19" s="47"/>
      <c r="E19" s="58">
        <f t="shared" si="7"/>
        <v>0</v>
      </c>
      <c r="F19" s="85" t="str">
        <f t="shared" si="8"/>
        <v xml:space="preserve"> </v>
      </c>
      <c r="G19" s="85" t="str">
        <f t="shared" si="9"/>
        <v xml:space="preserve"> </v>
      </c>
      <c r="H19" s="85" t="str">
        <f t="shared" si="0"/>
        <v/>
      </c>
      <c r="I19" s="109"/>
      <c r="J19" s="108">
        <f t="shared" si="10"/>
        <v>0</v>
      </c>
      <c r="K19" s="85" t="str">
        <f t="shared" si="1"/>
        <v/>
      </c>
      <c r="L19" s="109"/>
      <c r="M19" s="108">
        <f t="shared" si="15"/>
        <v>0</v>
      </c>
      <c r="N19" s="85" t="str">
        <f t="shared" si="2"/>
        <v/>
      </c>
      <c r="O19" s="109"/>
      <c r="P19" s="108">
        <f t="shared" si="12"/>
        <v>0</v>
      </c>
      <c r="Q19" s="85" t="str">
        <f t="shared" si="3"/>
        <v/>
      </c>
      <c r="R19" s="109"/>
      <c r="S19" s="108">
        <f t="shared" si="4"/>
        <v>0</v>
      </c>
      <c r="T19" s="85" t="str">
        <f t="shared" si="5"/>
        <v/>
      </c>
      <c r="U19" s="86"/>
      <c r="V19" s="59">
        <f t="shared" si="13"/>
        <v>0</v>
      </c>
      <c r="W19" s="85" t="str">
        <f t="shared" si="6"/>
        <v/>
      </c>
      <c r="X19" s="86"/>
      <c r="Y19" s="59">
        <f t="shared" si="14"/>
        <v>0</v>
      </c>
    </row>
    <row r="20" spans="2:25" ht="15" customHeight="1" x14ac:dyDescent="0.25">
      <c r="B20" s="46"/>
      <c r="C20" s="46"/>
      <c r="D20" s="47"/>
      <c r="E20" s="58">
        <f t="shared" si="7"/>
        <v>0</v>
      </c>
      <c r="F20" s="85" t="str">
        <f t="shared" si="8"/>
        <v xml:space="preserve"> </v>
      </c>
      <c r="G20" s="85" t="str">
        <f t="shared" si="9"/>
        <v xml:space="preserve"> </v>
      </c>
      <c r="H20" s="85" t="str">
        <f t="shared" si="0"/>
        <v/>
      </c>
      <c r="I20" s="109"/>
      <c r="J20" s="108">
        <f t="shared" si="10"/>
        <v>0</v>
      </c>
      <c r="K20" s="85" t="str">
        <f t="shared" si="1"/>
        <v/>
      </c>
      <c r="L20" s="109"/>
      <c r="M20" s="108">
        <f t="shared" si="15"/>
        <v>0</v>
      </c>
      <c r="N20" s="85" t="str">
        <f t="shared" si="2"/>
        <v/>
      </c>
      <c r="O20" s="109"/>
      <c r="P20" s="108">
        <f t="shared" si="12"/>
        <v>0</v>
      </c>
      <c r="Q20" s="85" t="str">
        <f t="shared" si="3"/>
        <v/>
      </c>
      <c r="R20" s="109"/>
      <c r="S20" s="108">
        <f t="shared" si="4"/>
        <v>0</v>
      </c>
      <c r="T20" s="85" t="str">
        <f t="shared" si="5"/>
        <v/>
      </c>
      <c r="U20" s="86"/>
      <c r="V20" s="59">
        <f t="shared" si="13"/>
        <v>0</v>
      </c>
      <c r="W20" s="85" t="str">
        <f t="shared" si="6"/>
        <v/>
      </c>
      <c r="X20" s="86"/>
      <c r="Y20" s="59">
        <f t="shared" si="14"/>
        <v>0</v>
      </c>
    </row>
    <row r="21" spans="2:25" ht="15" customHeight="1" x14ac:dyDescent="0.25">
      <c r="B21" s="46"/>
      <c r="C21" s="46"/>
      <c r="D21" s="47"/>
      <c r="E21" s="58">
        <f t="shared" si="7"/>
        <v>0</v>
      </c>
      <c r="F21" s="85" t="str">
        <f t="shared" si="8"/>
        <v xml:space="preserve"> </v>
      </c>
      <c r="G21" s="85" t="str">
        <f t="shared" si="9"/>
        <v xml:space="preserve"> </v>
      </c>
      <c r="H21" s="85" t="str">
        <f t="shared" si="0"/>
        <v/>
      </c>
      <c r="I21" s="109"/>
      <c r="J21" s="108">
        <f t="shared" si="10"/>
        <v>0</v>
      </c>
      <c r="K21" s="85" t="str">
        <f t="shared" si="1"/>
        <v/>
      </c>
      <c r="L21" s="109"/>
      <c r="M21" s="108">
        <f t="shared" si="15"/>
        <v>0</v>
      </c>
      <c r="N21" s="85" t="str">
        <f t="shared" si="2"/>
        <v/>
      </c>
      <c r="O21" s="109"/>
      <c r="P21" s="108">
        <f t="shared" si="12"/>
        <v>0</v>
      </c>
      <c r="Q21" s="85" t="str">
        <f t="shared" si="3"/>
        <v/>
      </c>
      <c r="R21" s="109"/>
      <c r="S21" s="108">
        <f t="shared" si="4"/>
        <v>0</v>
      </c>
      <c r="T21" s="85" t="str">
        <f t="shared" si="5"/>
        <v/>
      </c>
      <c r="U21" s="86"/>
      <c r="V21" s="59">
        <f t="shared" si="13"/>
        <v>0</v>
      </c>
      <c r="W21" s="85" t="str">
        <f t="shared" si="6"/>
        <v/>
      </c>
      <c r="X21" s="86"/>
      <c r="Y21" s="59">
        <f t="shared" si="14"/>
        <v>0</v>
      </c>
    </row>
    <row r="22" spans="2:25" ht="15" customHeight="1" x14ac:dyDescent="0.25">
      <c r="B22" s="46"/>
      <c r="C22" s="46"/>
      <c r="D22" s="47"/>
      <c r="E22" s="58">
        <f t="shared" si="7"/>
        <v>0</v>
      </c>
      <c r="F22" s="85" t="str">
        <f t="shared" si="8"/>
        <v xml:space="preserve"> </v>
      </c>
      <c r="G22" s="85" t="str">
        <f t="shared" si="9"/>
        <v xml:space="preserve"> </v>
      </c>
      <c r="H22" s="85" t="str">
        <f t="shared" si="0"/>
        <v/>
      </c>
      <c r="I22" s="109"/>
      <c r="J22" s="108">
        <f t="shared" si="10"/>
        <v>0</v>
      </c>
      <c r="K22" s="85" t="str">
        <f t="shared" si="1"/>
        <v/>
      </c>
      <c r="L22" s="109"/>
      <c r="M22" s="108">
        <f t="shared" si="15"/>
        <v>0</v>
      </c>
      <c r="N22" s="85" t="str">
        <f t="shared" si="2"/>
        <v/>
      </c>
      <c r="O22" s="109"/>
      <c r="P22" s="108">
        <f t="shared" si="12"/>
        <v>0</v>
      </c>
      <c r="Q22" s="85" t="str">
        <f t="shared" si="3"/>
        <v/>
      </c>
      <c r="R22" s="109"/>
      <c r="S22" s="108">
        <f t="shared" si="4"/>
        <v>0</v>
      </c>
      <c r="T22" s="85" t="str">
        <f t="shared" si="5"/>
        <v/>
      </c>
      <c r="U22" s="86"/>
      <c r="V22" s="59">
        <f t="shared" si="13"/>
        <v>0</v>
      </c>
      <c r="W22" s="85" t="str">
        <f t="shared" si="6"/>
        <v/>
      </c>
      <c r="X22" s="86"/>
      <c r="Y22" s="59">
        <f t="shared" si="14"/>
        <v>0</v>
      </c>
    </row>
    <row r="23" spans="2:25" ht="15" customHeight="1" x14ac:dyDescent="0.25">
      <c r="B23" s="46"/>
      <c r="C23" s="46"/>
      <c r="D23" s="47"/>
      <c r="E23" s="58">
        <f t="shared" si="7"/>
        <v>0</v>
      </c>
      <c r="F23" s="85" t="str">
        <f t="shared" si="8"/>
        <v xml:space="preserve"> </v>
      </c>
      <c r="G23" s="85" t="str">
        <f t="shared" si="9"/>
        <v xml:space="preserve"> </v>
      </c>
      <c r="H23" s="85" t="str">
        <f t="shared" si="0"/>
        <v/>
      </c>
      <c r="I23" s="109"/>
      <c r="J23" s="108">
        <f t="shared" si="10"/>
        <v>0</v>
      </c>
      <c r="K23" s="85" t="str">
        <f t="shared" si="1"/>
        <v/>
      </c>
      <c r="L23" s="109"/>
      <c r="M23" s="108">
        <f t="shared" si="15"/>
        <v>0</v>
      </c>
      <c r="N23" s="85" t="str">
        <f t="shared" si="2"/>
        <v/>
      </c>
      <c r="O23" s="109"/>
      <c r="P23" s="108">
        <f t="shared" si="12"/>
        <v>0</v>
      </c>
      <c r="Q23" s="85" t="str">
        <f t="shared" si="3"/>
        <v/>
      </c>
      <c r="R23" s="109"/>
      <c r="S23" s="108">
        <f t="shared" si="4"/>
        <v>0</v>
      </c>
      <c r="T23" s="85" t="str">
        <f t="shared" si="5"/>
        <v/>
      </c>
      <c r="U23" s="86"/>
      <c r="V23" s="59">
        <f t="shared" si="13"/>
        <v>0</v>
      </c>
      <c r="W23" s="85" t="str">
        <f t="shared" si="6"/>
        <v/>
      </c>
      <c r="X23" s="86"/>
      <c r="Y23" s="59">
        <f t="shared" si="14"/>
        <v>0</v>
      </c>
    </row>
    <row r="24" spans="2:25" ht="15" customHeight="1" x14ac:dyDescent="0.25">
      <c r="B24" s="46"/>
      <c r="C24" s="46"/>
      <c r="D24" s="47"/>
      <c r="E24" s="58">
        <f t="shared" si="7"/>
        <v>0</v>
      </c>
      <c r="F24" s="85" t="str">
        <f t="shared" si="8"/>
        <v xml:space="preserve"> </v>
      </c>
      <c r="G24" s="85" t="str">
        <f t="shared" si="9"/>
        <v xml:space="preserve"> </v>
      </c>
      <c r="H24" s="85" t="str">
        <f t="shared" si="0"/>
        <v/>
      </c>
      <c r="I24" s="109"/>
      <c r="J24" s="108">
        <f t="shared" si="10"/>
        <v>0</v>
      </c>
      <c r="K24" s="85" t="str">
        <f t="shared" si="1"/>
        <v/>
      </c>
      <c r="L24" s="109"/>
      <c r="M24" s="108">
        <f t="shared" si="15"/>
        <v>0</v>
      </c>
      <c r="N24" s="85" t="str">
        <f t="shared" si="2"/>
        <v/>
      </c>
      <c r="O24" s="109"/>
      <c r="P24" s="108">
        <f t="shared" si="12"/>
        <v>0</v>
      </c>
      <c r="Q24" s="85" t="str">
        <f t="shared" si="3"/>
        <v/>
      </c>
      <c r="R24" s="109"/>
      <c r="S24" s="108">
        <f t="shared" si="4"/>
        <v>0</v>
      </c>
      <c r="T24" s="85" t="str">
        <f t="shared" si="5"/>
        <v/>
      </c>
      <c r="U24" s="86"/>
      <c r="V24" s="59">
        <f t="shared" si="13"/>
        <v>0</v>
      </c>
      <c r="W24" s="85" t="str">
        <f t="shared" si="6"/>
        <v/>
      </c>
      <c r="X24" s="86"/>
      <c r="Y24" s="59">
        <f t="shared" si="14"/>
        <v>0</v>
      </c>
    </row>
    <row r="25" spans="2:25" ht="15" customHeight="1" x14ac:dyDescent="0.25">
      <c r="B25" s="46"/>
      <c r="C25" s="46"/>
      <c r="D25" s="47"/>
      <c r="E25" s="58">
        <f t="shared" si="7"/>
        <v>0</v>
      </c>
      <c r="F25" s="85" t="str">
        <f t="shared" si="8"/>
        <v xml:space="preserve"> </v>
      </c>
      <c r="G25" s="85" t="str">
        <f t="shared" si="9"/>
        <v xml:space="preserve"> </v>
      </c>
      <c r="H25" s="85" t="str">
        <f t="shared" si="0"/>
        <v/>
      </c>
      <c r="I25" s="109"/>
      <c r="J25" s="108">
        <f t="shared" si="10"/>
        <v>0</v>
      </c>
      <c r="K25" s="85" t="str">
        <f t="shared" si="1"/>
        <v/>
      </c>
      <c r="L25" s="109"/>
      <c r="M25" s="108">
        <f t="shared" si="15"/>
        <v>0</v>
      </c>
      <c r="N25" s="85" t="str">
        <f t="shared" si="2"/>
        <v/>
      </c>
      <c r="O25" s="109"/>
      <c r="P25" s="108">
        <f t="shared" si="12"/>
        <v>0</v>
      </c>
      <c r="Q25" s="85" t="str">
        <f t="shared" si="3"/>
        <v/>
      </c>
      <c r="R25" s="109"/>
      <c r="S25" s="108">
        <f t="shared" si="4"/>
        <v>0</v>
      </c>
      <c r="T25" s="85" t="str">
        <f t="shared" si="5"/>
        <v/>
      </c>
      <c r="U25" s="86"/>
      <c r="V25" s="59">
        <f t="shared" si="13"/>
        <v>0</v>
      </c>
      <c r="W25" s="85" t="str">
        <f t="shared" si="6"/>
        <v/>
      </c>
      <c r="X25" s="86"/>
      <c r="Y25" s="59">
        <f t="shared" si="14"/>
        <v>0</v>
      </c>
    </row>
    <row r="26" spans="2:25" ht="15" customHeight="1" x14ac:dyDescent="0.25">
      <c r="B26" s="46"/>
      <c r="C26" s="46"/>
      <c r="D26" s="47"/>
      <c r="E26" s="58">
        <f t="shared" si="7"/>
        <v>0</v>
      </c>
      <c r="F26" s="85" t="str">
        <f t="shared" si="8"/>
        <v xml:space="preserve"> </v>
      </c>
      <c r="G26" s="85" t="str">
        <f t="shared" si="9"/>
        <v xml:space="preserve"> </v>
      </c>
      <c r="H26" s="85" t="str">
        <f t="shared" si="0"/>
        <v/>
      </c>
      <c r="I26" s="109"/>
      <c r="J26" s="108">
        <f t="shared" si="10"/>
        <v>0</v>
      </c>
      <c r="K26" s="85" t="str">
        <f t="shared" si="1"/>
        <v/>
      </c>
      <c r="L26" s="109"/>
      <c r="M26" s="108">
        <f t="shared" si="15"/>
        <v>0</v>
      </c>
      <c r="N26" s="85" t="str">
        <f t="shared" si="2"/>
        <v/>
      </c>
      <c r="O26" s="109"/>
      <c r="P26" s="108">
        <f t="shared" si="12"/>
        <v>0</v>
      </c>
      <c r="Q26" s="85" t="str">
        <f t="shared" si="3"/>
        <v/>
      </c>
      <c r="R26" s="109"/>
      <c r="S26" s="108">
        <f t="shared" si="4"/>
        <v>0</v>
      </c>
      <c r="T26" s="85" t="str">
        <f t="shared" si="5"/>
        <v/>
      </c>
      <c r="U26" s="86"/>
      <c r="V26" s="59">
        <f t="shared" si="13"/>
        <v>0</v>
      </c>
      <c r="W26" s="85" t="str">
        <f t="shared" si="6"/>
        <v/>
      </c>
      <c r="X26" s="86"/>
      <c r="Y26" s="59">
        <f t="shared" si="14"/>
        <v>0</v>
      </c>
    </row>
    <row r="27" spans="2:25" ht="15" customHeight="1" x14ac:dyDescent="0.25">
      <c r="B27" s="46"/>
      <c r="C27" s="46"/>
      <c r="D27" s="47"/>
      <c r="E27" s="58">
        <f t="shared" si="7"/>
        <v>0</v>
      </c>
      <c r="F27" s="85" t="str">
        <f t="shared" si="8"/>
        <v xml:space="preserve"> </v>
      </c>
      <c r="G27" s="85" t="str">
        <f t="shared" si="9"/>
        <v xml:space="preserve"> </v>
      </c>
      <c r="H27" s="85" t="str">
        <f t="shared" si="0"/>
        <v/>
      </c>
      <c r="I27" s="109"/>
      <c r="J27" s="108">
        <f t="shared" si="10"/>
        <v>0</v>
      </c>
      <c r="K27" s="85" t="str">
        <f t="shared" si="1"/>
        <v/>
      </c>
      <c r="L27" s="109"/>
      <c r="M27" s="108">
        <f t="shared" si="15"/>
        <v>0</v>
      </c>
      <c r="N27" s="85" t="str">
        <f t="shared" si="2"/>
        <v/>
      </c>
      <c r="O27" s="109"/>
      <c r="P27" s="108">
        <f t="shared" si="12"/>
        <v>0</v>
      </c>
      <c r="Q27" s="85" t="str">
        <f t="shared" si="3"/>
        <v/>
      </c>
      <c r="R27" s="109"/>
      <c r="S27" s="108">
        <f t="shared" si="4"/>
        <v>0</v>
      </c>
      <c r="T27" s="85" t="str">
        <f t="shared" si="5"/>
        <v/>
      </c>
      <c r="U27" s="86"/>
      <c r="V27" s="59">
        <f t="shared" si="13"/>
        <v>0</v>
      </c>
      <c r="W27" s="85" t="str">
        <f t="shared" si="6"/>
        <v/>
      </c>
      <c r="X27" s="86"/>
      <c r="Y27" s="59">
        <f t="shared" si="14"/>
        <v>0</v>
      </c>
    </row>
    <row r="28" spans="2:25" ht="15" customHeight="1" x14ac:dyDescent="0.25">
      <c r="B28" s="46"/>
      <c r="C28" s="46"/>
      <c r="D28" s="47"/>
      <c r="E28" s="58">
        <f t="shared" si="7"/>
        <v>0</v>
      </c>
      <c r="F28" s="85" t="str">
        <f t="shared" si="8"/>
        <v xml:space="preserve"> </v>
      </c>
      <c r="G28" s="85" t="str">
        <f t="shared" si="9"/>
        <v xml:space="preserve"> </v>
      </c>
      <c r="H28" s="85" t="str">
        <f t="shared" si="0"/>
        <v/>
      </c>
      <c r="I28" s="109"/>
      <c r="J28" s="108">
        <f t="shared" si="10"/>
        <v>0</v>
      </c>
      <c r="K28" s="85" t="str">
        <f t="shared" si="1"/>
        <v/>
      </c>
      <c r="L28" s="109"/>
      <c r="M28" s="108">
        <f t="shared" si="15"/>
        <v>0</v>
      </c>
      <c r="N28" s="85" t="str">
        <f t="shared" si="2"/>
        <v/>
      </c>
      <c r="O28" s="109"/>
      <c r="P28" s="108">
        <f t="shared" si="12"/>
        <v>0</v>
      </c>
      <c r="Q28" s="85" t="str">
        <f t="shared" si="3"/>
        <v/>
      </c>
      <c r="R28" s="109"/>
      <c r="S28" s="108">
        <f t="shared" si="4"/>
        <v>0</v>
      </c>
      <c r="T28" s="85" t="str">
        <f t="shared" si="5"/>
        <v/>
      </c>
      <c r="U28" s="86"/>
      <c r="V28" s="59">
        <f t="shared" si="13"/>
        <v>0</v>
      </c>
      <c r="W28" s="85" t="str">
        <f t="shared" si="6"/>
        <v/>
      </c>
      <c r="X28" s="86"/>
      <c r="Y28" s="59">
        <f t="shared" si="14"/>
        <v>0</v>
      </c>
    </row>
    <row r="29" spans="2:25" ht="15" customHeight="1" x14ac:dyDescent="0.25">
      <c r="B29" s="46"/>
      <c r="C29" s="46"/>
      <c r="D29" s="47"/>
      <c r="E29" s="58">
        <f t="shared" si="7"/>
        <v>0</v>
      </c>
      <c r="F29" s="85" t="str">
        <f t="shared" si="8"/>
        <v xml:space="preserve"> </v>
      </c>
      <c r="G29" s="85" t="str">
        <f t="shared" si="9"/>
        <v xml:space="preserve"> </v>
      </c>
      <c r="H29" s="85" t="str">
        <f t="shared" si="0"/>
        <v/>
      </c>
      <c r="I29" s="109"/>
      <c r="J29" s="108">
        <f t="shared" si="10"/>
        <v>0</v>
      </c>
      <c r="K29" s="85" t="str">
        <f t="shared" si="1"/>
        <v/>
      </c>
      <c r="L29" s="109"/>
      <c r="M29" s="108">
        <f t="shared" si="15"/>
        <v>0</v>
      </c>
      <c r="N29" s="85" t="str">
        <f t="shared" si="2"/>
        <v/>
      </c>
      <c r="O29" s="109"/>
      <c r="P29" s="108">
        <f t="shared" si="12"/>
        <v>0</v>
      </c>
      <c r="Q29" s="85" t="str">
        <f t="shared" si="3"/>
        <v/>
      </c>
      <c r="R29" s="109"/>
      <c r="S29" s="108">
        <f t="shared" si="4"/>
        <v>0</v>
      </c>
      <c r="T29" s="85" t="str">
        <f t="shared" si="5"/>
        <v/>
      </c>
      <c r="U29" s="86"/>
      <c r="V29" s="59">
        <f t="shared" si="13"/>
        <v>0</v>
      </c>
      <c r="W29" s="85" t="str">
        <f t="shared" si="6"/>
        <v/>
      </c>
      <c r="X29" s="86"/>
      <c r="Y29" s="59">
        <f t="shared" si="14"/>
        <v>0</v>
      </c>
    </row>
    <row r="30" spans="2:25" ht="15" customHeight="1" x14ac:dyDescent="0.25">
      <c r="B30" s="46"/>
      <c r="C30" s="46"/>
      <c r="D30" s="47"/>
      <c r="E30" s="58">
        <f t="shared" si="7"/>
        <v>0</v>
      </c>
      <c r="F30" s="85" t="str">
        <f t="shared" si="8"/>
        <v xml:space="preserve"> </v>
      </c>
      <c r="G30" s="85" t="str">
        <f t="shared" si="9"/>
        <v xml:space="preserve"> </v>
      </c>
      <c r="H30" s="85" t="str">
        <f t="shared" si="0"/>
        <v/>
      </c>
      <c r="I30" s="109"/>
      <c r="J30" s="108">
        <f t="shared" si="10"/>
        <v>0</v>
      </c>
      <c r="K30" s="85" t="str">
        <f t="shared" si="1"/>
        <v/>
      </c>
      <c r="L30" s="109"/>
      <c r="M30" s="108">
        <f t="shared" si="15"/>
        <v>0</v>
      </c>
      <c r="N30" s="85" t="str">
        <f t="shared" si="2"/>
        <v/>
      </c>
      <c r="O30" s="109"/>
      <c r="P30" s="108">
        <f t="shared" si="12"/>
        <v>0</v>
      </c>
      <c r="Q30" s="85" t="str">
        <f t="shared" si="3"/>
        <v/>
      </c>
      <c r="R30" s="109"/>
      <c r="S30" s="108">
        <f t="shared" si="4"/>
        <v>0</v>
      </c>
      <c r="T30" s="85" t="str">
        <f t="shared" si="5"/>
        <v/>
      </c>
      <c r="U30" s="86"/>
      <c r="V30" s="59">
        <f t="shared" si="13"/>
        <v>0</v>
      </c>
      <c r="W30" s="85" t="str">
        <f t="shared" si="6"/>
        <v/>
      </c>
      <c r="X30" s="86"/>
      <c r="Y30" s="59">
        <f t="shared" si="14"/>
        <v>0</v>
      </c>
    </row>
    <row r="31" spans="2:25" ht="15" customHeight="1" x14ac:dyDescent="0.25">
      <c r="B31" s="46"/>
      <c r="C31" s="46"/>
      <c r="D31" s="47"/>
      <c r="E31" s="58">
        <f t="shared" si="7"/>
        <v>0</v>
      </c>
      <c r="F31" s="85" t="str">
        <f t="shared" si="8"/>
        <v xml:space="preserve"> </v>
      </c>
      <c r="G31" s="85" t="str">
        <f t="shared" si="9"/>
        <v xml:space="preserve"> </v>
      </c>
      <c r="H31" s="85" t="str">
        <f t="shared" si="0"/>
        <v/>
      </c>
      <c r="I31" s="109"/>
      <c r="J31" s="108">
        <f t="shared" si="10"/>
        <v>0</v>
      </c>
      <c r="K31" s="85" t="str">
        <f t="shared" si="1"/>
        <v/>
      </c>
      <c r="L31" s="109"/>
      <c r="M31" s="108">
        <f t="shared" si="15"/>
        <v>0</v>
      </c>
      <c r="N31" s="85" t="str">
        <f t="shared" si="2"/>
        <v/>
      </c>
      <c r="O31" s="109"/>
      <c r="P31" s="108">
        <f t="shared" si="12"/>
        <v>0</v>
      </c>
      <c r="Q31" s="85" t="str">
        <f t="shared" si="3"/>
        <v/>
      </c>
      <c r="R31" s="109"/>
      <c r="S31" s="108">
        <f t="shared" si="4"/>
        <v>0</v>
      </c>
      <c r="T31" s="85" t="str">
        <f t="shared" si="5"/>
        <v/>
      </c>
      <c r="U31" s="86"/>
      <c r="V31" s="59">
        <f t="shared" si="13"/>
        <v>0</v>
      </c>
      <c r="W31" s="85" t="str">
        <f t="shared" si="6"/>
        <v/>
      </c>
      <c r="X31" s="86"/>
      <c r="Y31" s="59">
        <f t="shared" si="14"/>
        <v>0</v>
      </c>
    </row>
    <row r="32" spans="2:25" ht="15" customHeight="1" x14ac:dyDescent="0.25">
      <c r="B32" s="46"/>
      <c r="C32" s="46"/>
      <c r="D32" s="47"/>
      <c r="E32" s="58">
        <f t="shared" si="7"/>
        <v>0</v>
      </c>
      <c r="F32" s="85" t="str">
        <f t="shared" si="8"/>
        <v xml:space="preserve"> </v>
      </c>
      <c r="G32" s="85" t="str">
        <f t="shared" si="9"/>
        <v xml:space="preserve"> </v>
      </c>
      <c r="H32" s="85" t="str">
        <f t="shared" si="0"/>
        <v/>
      </c>
      <c r="I32" s="109"/>
      <c r="J32" s="108">
        <f t="shared" si="10"/>
        <v>0</v>
      </c>
      <c r="K32" s="85" t="str">
        <f t="shared" si="1"/>
        <v/>
      </c>
      <c r="L32" s="109"/>
      <c r="M32" s="108">
        <f t="shared" si="15"/>
        <v>0</v>
      </c>
      <c r="N32" s="85" t="str">
        <f t="shared" si="2"/>
        <v/>
      </c>
      <c r="O32" s="109"/>
      <c r="P32" s="108">
        <f t="shared" si="12"/>
        <v>0</v>
      </c>
      <c r="Q32" s="85" t="str">
        <f t="shared" si="3"/>
        <v/>
      </c>
      <c r="R32" s="109"/>
      <c r="S32" s="108">
        <f t="shared" si="4"/>
        <v>0</v>
      </c>
      <c r="T32" s="85" t="str">
        <f t="shared" si="5"/>
        <v/>
      </c>
      <c r="U32" s="86"/>
      <c r="V32" s="59">
        <f t="shared" si="13"/>
        <v>0</v>
      </c>
      <c r="W32" s="85" t="str">
        <f t="shared" si="6"/>
        <v/>
      </c>
      <c r="X32" s="86"/>
      <c r="Y32" s="59">
        <f t="shared" si="14"/>
        <v>0</v>
      </c>
    </row>
    <row r="33" spans="2:25" ht="15" customHeight="1" x14ac:dyDescent="0.25">
      <c r="B33" s="46"/>
      <c r="C33" s="46"/>
      <c r="D33" s="47"/>
      <c r="E33" s="58">
        <f t="shared" si="7"/>
        <v>0</v>
      </c>
      <c r="F33" s="85" t="str">
        <f t="shared" si="8"/>
        <v xml:space="preserve"> </v>
      </c>
      <c r="G33" s="85" t="str">
        <f t="shared" si="9"/>
        <v xml:space="preserve"> </v>
      </c>
      <c r="H33" s="85" t="str">
        <f t="shared" si="0"/>
        <v/>
      </c>
      <c r="I33" s="109"/>
      <c r="J33" s="108">
        <f t="shared" si="10"/>
        <v>0</v>
      </c>
      <c r="K33" s="85" t="str">
        <f t="shared" si="1"/>
        <v/>
      </c>
      <c r="L33" s="109"/>
      <c r="M33" s="108">
        <f t="shared" si="15"/>
        <v>0</v>
      </c>
      <c r="N33" s="85" t="str">
        <f t="shared" si="2"/>
        <v/>
      </c>
      <c r="O33" s="109"/>
      <c r="P33" s="108">
        <f t="shared" si="12"/>
        <v>0</v>
      </c>
      <c r="Q33" s="85" t="str">
        <f t="shared" si="3"/>
        <v/>
      </c>
      <c r="R33" s="109"/>
      <c r="S33" s="108">
        <f t="shared" si="4"/>
        <v>0</v>
      </c>
      <c r="T33" s="85" t="str">
        <f t="shared" si="5"/>
        <v/>
      </c>
      <c r="U33" s="86"/>
      <c r="V33" s="59">
        <f t="shared" si="13"/>
        <v>0</v>
      </c>
      <c r="W33" s="85" t="str">
        <f t="shared" si="6"/>
        <v/>
      </c>
      <c r="X33" s="86"/>
      <c r="Y33" s="59">
        <f t="shared" si="14"/>
        <v>0</v>
      </c>
    </row>
    <row r="34" spans="2:25" ht="15" customHeight="1" x14ac:dyDescent="0.25">
      <c r="B34" s="46"/>
      <c r="C34" s="46"/>
      <c r="D34" s="47"/>
      <c r="E34" s="58">
        <f t="shared" si="7"/>
        <v>0</v>
      </c>
      <c r="F34" s="85" t="str">
        <f t="shared" si="8"/>
        <v xml:space="preserve"> </v>
      </c>
      <c r="G34" s="85" t="str">
        <f t="shared" si="9"/>
        <v xml:space="preserve"> </v>
      </c>
      <c r="H34" s="85" t="str">
        <f t="shared" si="0"/>
        <v/>
      </c>
      <c r="I34" s="109"/>
      <c r="J34" s="108">
        <f t="shared" si="10"/>
        <v>0</v>
      </c>
      <c r="K34" s="85" t="str">
        <f t="shared" si="1"/>
        <v/>
      </c>
      <c r="L34" s="109"/>
      <c r="M34" s="108">
        <f t="shared" si="15"/>
        <v>0</v>
      </c>
      <c r="N34" s="85" t="str">
        <f t="shared" si="2"/>
        <v/>
      </c>
      <c r="O34" s="109"/>
      <c r="P34" s="108">
        <f t="shared" si="12"/>
        <v>0</v>
      </c>
      <c r="Q34" s="85" t="str">
        <f t="shared" si="3"/>
        <v/>
      </c>
      <c r="R34" s="109"/>
      <c r="S34" s="108">
        <f t="shared" si="4"/>
        <v>0</v>
      </c>
      <c r="T34" s="85" t="str">
        <f t="shared" si="5"/>
        <v/>
      </c>
      <c r="U34" s="86"/>
      <c r="V34" s="59">
        <f t="shared" si="13"/>
        <v>0</v>
      </c>
      <c r="W34" s="85" t="str">
        <f t="shared" si="6"/>
        <v/>
      </c>
      <c r="X34" s="86"/>
      <c r="Y34" s="59">
        <f t="shared" si="14"/>
        <v>0</v>
      </c>
    </row>
    <row r="35" spans="2:25" ht="15" customHeight="1" x14ac:dyDescent="0.25">
      <c r="B35" s="46"/>
      <c r="C35" s="46"/>
      <c r="D35" s="47"/>
      <c r="E35" s="58">
        <f t="shared" si="7"/>
        <v>0</v>
      </c>
      <c r="F35" s="85" t="str">
        <f t="shared" si="8"/>
        <v xml:space="preserve"> </v>
      </c>
      <c r="G35" s="85" t="str">
        <f t="shared" si="9"/>
        <v xml:space="preserve"> </v>
      </c>
      <c r="H35" s="85" t="str">
        <f t="shared" si="0"/>
        <v/>
      </c>
      <c r="I35" s="109"/>
      <c r="J35" s="108">
        <f t="shared" si="10"/>
        <v>0</v>
      </c>
      <c r="K35" s="85" t="str">
        <f t="shared" si="1"/>
        <v/>
      </c>
      <c r="L35" s="109"/>
      <c r="M35" s="108">
        <f t="shared" si="15"/>
        <v>0</v>
      </c>
      <c r="N35" s="85" t="str">
        <f t="shared" si="2"/>
        <v/>
      </c>
      <c r="O35" s="109"/>
      <c r="P35" s="108">
        <f t="shared" si="12"/>
        <v>0</v>
      </c>
      <c r="Q35" s="85" t="str">
        <f t="shared" si="3"/>
        <v/>
      </c>
      <c r="R35" s="109"/>
      <c r="S35" s="108">
        <f t="shared" si="4"/>
        <v>0</v>
      </c>
      <c r="T35" s="85" t="str">
        <f t="shared" si="5"/>
        <v/>
      </c>
      <c r="U35" s="86"/>
      <c r="V35" s="59">
        <f t="shared" si="13"/>
        <v>0</v>
      </c>
      <c r="W35" s="85" t="str">
        <f t="shared" si="6"/>
        <v/>
      </c>
      <c r="X35" s="86"/>
      <c r="Y35" s="59">
        <f t="shared" si="14"/>
        <v>0</v>
      </c>
    </row>
    <row r="36" spans="2:25" ht="15" customHeight="1" x14ac:dyDescent="0.25">
      <c r="B36" s="46"/>
      <c r="C36" s="46"/>
      <c r="D36" s="47"/>
      <c r="E36" s="58">
        <f t="shared" si="7"/>
        <v>0</v>
      </c>
      <c r="F36" s="85" t="str">
        <f t="shared" si="8"/>
        <v xml:space="preserve"> </v>
      </c>
      <c r="G36" s="85" t="str">
        <f t="shared" si="9"/>
        <v xml:space="preserve"> </v>
      </c>
      <c r="H36" s="85" t="str">
        <f t="shared" si="0"/>
        <v/>
      </c>
      <c r="I36" s="109"/>
      <c r="J36" s="108">
        <f t="shared" si="10"/>
        <v>0</v>
      </c>
      <c r="K36" s="85" t="str">
        <f t="shared" si="1"/>
        <v/>
      </c>
      <c r="L36" s="109"/>
      <c r="M36" s="108">
        <f t="shared" si="15"/>
        <v>0</v>
      </c>
      <c r="N36" s="85" t="str">
        <f t="shared" si="2"/>
        <v/>
      </c>
      <c r="O36" s="109"/>
      <c r="P36" s="108">
        <f t="shared" si="12"/>
        <v>0</v>
      </c>
      <c r="Q36" s="85" t="str">
        <f t="shared" si="3"/>
        <v/>
      </c>
      <c r="R36" s="109"/>
      <c r="S36" s="108">
        <f t="shared" si="4"/>
        <v>0</v>
      </c>
      <c r="T36" s="85" t="str">
        <f t="shared" si="5"/>
        <v/>
      </c>
      <c r="U36" s="86"/>
      <c r="V36" s="59">
        <f t="shared" si="13"/>
        <v>0</v>
      </c>
      <c r="W36" s="85" t="str">
        <f t="shared" si="6"/>
        <v/>
      </c>
      <c r="X36" s="86"/>
      <c r="Y36" s="59">
        <f t="shared" si="14"/>
        <v>0</v>
      </c>
    </row>
    <row r="37" spans="2:25" ht="15" customHeight="1" x14ac:dyDescent="0.25">
      <c r="B37" s="46"/>
      <c r="C37" s="46"/>
      <c r="D37" s="47"/>
      <c r="E37" s="58">
        <f t="shared" si="7"/>
        <v>0</v>
      </c>
      <c r="F37" s="85" t="str">
        <f t="shared" si="8"/>
        <v xml:space="preserve"> </v>
      </c>
      <c r="G37" s="85" t="str">
        <f t="shared" si="9"/>
        <v xml:space="preserve"> </v>
      </c>
      <c r="H37" s="85" t="str">
        <f t="shared" si="0"/>
        <v/>
      </c>
      <c r="I37" s="109"/>
      <c r="J37" s="108">
        <f t="shared" si="10"/>
        <v>0</v>
      </c>
      <c r="K37" s="85" t="str">
        <f t="shared" si="1"/>
        <v/>
      </c>
      <c r="L37" s="109"/>
      <c r="M37" s="108">
        <f t="shared" si="15"/>
        <v>0</v>
      </c>
      <c r="N37" s="85" t="str">
        <f t="shared" si="2"/>
        <v/>
      </c>
      <c r="O37" s="109"/>
      <c r="P37" s="108">
        <f t="shared" si="12"/>
        <v>0</v>
      </c>
      <c r="Q37" s="85" t="str">
        <f t="shared" si="3"/>
        <v/>
      </c>
      <c r="R37" s="109"/>
      <c r="S37" s="108">
        <f t="shared" si="4"/>
        <v>0</v>
      </c>
      <c r="T37" s="85" t="str">
        <f t="shared" si="5"/>
        <v/>
      </c>
      <c r="U37" s="86"/>
      <c r="V37" s="59">
        <f t="shared" si="13"/>
        <v>0</v>
      </c>
      <c r="W37" s="85" t="str">
        <f t="shared" si="6"/>
        <v/>
      </c>
      <c r="X37" s="86"/>
      <c r="Y37" s="59">
        <f t="shared" si="14"/>
        <v>0</v>
      </c>
    </row>
    <row r="38" spans="2:25" ht="15" customHeight="1" x14ac:dyDescent="0.25">
      <c r="B38" s="46"/>
      <c r="C38" s="46"/>
      <c r="D38" s="47"/>
      <c r="E38" s="58">
        <f t="shared" si="7"/>
        <v>0</v>
      </c>
      <c r="F38" s="85" t="str">
        <f t="shared" si="8"/>
        <v xml:space="preserve"> </v>
      </c>
      <c r="G38" s="85" t="str">
        <f t="shared" si="9"/>
        <v xml:space="preserve"> </v>
      </c>
      <c r="H38" s="85" t="str">
        <f t="shared" si="0"/>
        <v/>
      </c>
      <c r="I38" s="109"/>
      <c r="J38" s="108">
        <f t="shared" si="10"/>
        <v>0</v>
      </c>
      <c r="K38" s="85" t="str">
        <f t="shared" si="1"/>
        <v/>
      </c>
      <c r="L38" s="109"/>
      <c r="M38" s="108">
        <f t="shared" si="15"/>
        <v>0</v>
      </c>
      <c r="N38" s="85" t="str">
        <f t="shared" si="2"/>
        <v/>
      </c>
      <c r="O38" s="109"/>
      <c r="P38" s="108">
        <f t="shared" si="12"/>
        <v>0</v>
      </c>
      <c r="Q38" s="85" t="str">
        <f t="shared" si="3"/>
        <v/>
      </c>
      <c r="R38" s="109"/>
      <c r="S38" s="108">
        <f t="shared" si="4"/>
        <v>0</v>
      </c>
      <c r="T38" s="85" t="str">
        <f t="shared" si="5"/>
        <v/>
      </c>
      <c r="U38" s="86"/>
      <c r="V38" s="59">
        <f t="shared" si="13"/>
        <v>0</v>
      </c>
      <c r="W38" s="85" t="str">
        <f t="shared" si="6"/>
        <v/>
      </c>
      <c r="X38" s="86"/>
      <c r="Y38" s="59">
        <f t="shared" si="14"/>
        <v>0</v>
      </c>
    </row>
    <row r="39" spans="2:25" ht="15" customHeight="1" x14ac:dyDescent="0.25">
      <c r="B39" s="46"/>
      <c r="C39" s="46"/>
      <c r="D39" s="47"/>
      <c r="E39" s="58">
        <f t="shared" si="7"/>
        <v>0</v>
      </c>
      <c r="F39" s="85" t="str">
        <f t="shared" si="8"/>
        <v xml:space="preserve"> </v>
      </c>
      <c r="G39" s="85" t="str">
        <f t="shared" si="9"/>
        <v xml:space="preserve"> </v>
      </c>
      <c r="H39" s="85" t="str">
        <f t="shared" si="0"/>
        <v/>
      </c>
      <c r="I39" s="109"/>
      <c r="J39" s="108">
        <f t="shared" si="10"/>
        <v>0</v>
      </c>
      <c r="K39" s="85" t="str">
        <f t="shared" si="1"/>
        <v/>
      </c>
      <c r="L39" s="109"/>
      <c r="M39" s="108">
        <f t="shared" si="15"/>
        <v>0</v>
      </c>
      <c r="N39" s="85" t="str">
        <f t="shared" si="2"/>
        <v/>
      </c>
      <c r="O39" s="109"/>
      <c r="P39" s="108">
        <f t="shared" si="12"/>
        <v>0</v>
      </c>
      <c r="Q39" s="85" t="str">
        <f t="shared" si="3"/>
        <v/>
      </c>
      <c r="R39" s="109"/>
      <c r="S39" s="108">
        <f t="shared" si="4"/>
        <v>0</v>
      </c>
      <c r="T39" s="85" t="str">
        <f t="shared" si="5"/>
        <v/>
      </c>
      <c r="U39" s="86"/>
      <c r="V39" s="59">
        <f t="shared" si="13"/>
        <v>0</v>
      </c>
      <c r="W39" s="85" t="str">
        <f t="shared" si="6"/>
        <v/>
      </c>
      <c r="X39" s="86"/>
      <c r="Y39" s="59">
        <f t="shared" si="14"/>
        <v>0</v>
      </c>
    </row>
    <row r="40" spans="2:25" ht="15" customHeight="1" x14ac:dyDescent="0.25">
      <c r="B40" s="46"/>
      <c r="C40" s="46"/>
      <c r="D40" s="47"/>
      <c r="E40" s="58">
        <f t="shared" si="7"/>
        <v>0</v>
      </c>
      <c r="F40" s="85" t="str">
        <f t="shared" si="8"/>
        <v xml:space="preserve"> </v>
      </c>
      <c r="G40" s="85" t="str">
        <f t="shared" si="9"/>
        <v xml:space="preserve"> </v>
      </c>
      <c r="H40" s="85" t="str">
        <f t="shared" si="0"/>
        <v/>
      </c>
      <c r="I40" s="109"/>
      <c r="J40" s="108">
        <f t="shared" si="10"/>
        <v>0</v>
      </c>
      <c r="K40" s="85" t="str">
        <f t="shared" si="1"/>
        <v/>
      </c>
      <c r="L40" s="109"/>
      <c r="M40" s="108">
        <f t="shared" si="15"/>
        <v>0</v>
      </c>
      <c r="N40" s="85" t="str">
        <f t="shared" si="2"/>
        <v/>
      </c>
      <c r="O40" s="109"/>
      <c r="P40" s="108">
        <f t="shared" si="12"/>
        <v>0</v>
      </c>
      <c r="Q40" s="85" t="str">
        <f t="shared" si="3"/>
        <v/>
      </c>
      <c r="R40" s="109"/>
      <c r="S40" s="108">
        <f t="shared" si="4"/>
        <v>0</v>
      </c>
      <c r="T40" s="85" t="str">
        <f t="shared" si="5"/>
        <v/>
      </c>
      <c r="U40" s="86"/>
      <c r="V40" s="59">
        <f t="shared" si="13"/>
        <v>0</v>
      </c>
      <c r="W40" s="85" t="str">
        <f t="shared" si="6"/>
        <v/>
      </c>
      <c r="X40" s="86"/>
      <c r="Y40" s="59">
        <f t="shared" si="14"/>
        <v>0</v>
      </c>
    </row>
    <row r="41" spans="2:25" ht="15" customHeight="1" x14ac:dyDescent="0.25">
      <c r="B41" s="46"/>
      <c r="C41" s="46"/>
      <c r="D41" s="47"/>
      <c r="E41" s="58">
        <f t="shared" si="7"/>
        <v>0</v>
      </c>
      <c r="F41" s="85" t="str">
        <f t="shared" si="8"/>
        <v xml:space="preserve"> </v>
      </c>
      <c r="G41" s="85" t="str">
        <f t="shared" si="9"/>
        <v xml:space="preserve"> </v>
      </c>
      <c r="H41" s="85" t="str">
        <f t="shared" si="0"/>
        <v/>
      </c>
      <c r="I41" s="109"/>
      <c r="J41" s="108">
        <f t="shared" si="10"/>
        <v>0</v>
      </c>
      <c r="K41" s="85" t="str">
        <f t="shared" si="1"/>
        <v/>
      </c>
      <c r="L41" s="109"/>
      <c r="M41" s="108">
        <f t="shared" si="15"/>
        <v>0</v>
      </c>
      <c r="N41" s="85" t="str">
        <f t="shared" si="2"/>
        <v/>
      </c>
      <c r="O41" s="109"/>
      <c r="P41" s="108">
        <f t="shared" si="12"/>
        <v>0</v>
      </c>
      <c r="Q41" s="85" t="str">
        <f t="shared" si="3"/>
        <v/>
      </c>
      <c r="R41" s="109"/>
      <c r="S41" s="108">
        <f t="shared" si="4"/>
        <v>0</v>
      </c>
      <c r="T41" s="85" t="str">
        <f t="shared" si="5"/>
        <v/>
      </c>
      <c r="U41" s="86"/>
      <c r="V41" s="59">
        <f t="shared" si="13"/>
        <v>0</v>
      </c>
      <c r="W41" s="85" t="str">
        <f t="shared" si="6"/>
        <v/>
      </c>
      <c r="X41" s="86"/>
      <c r="Y41" s="59">
        <f t="shared" si="14"/>
        <v>0</v>
      </c>
    </row>
    <row r="42" spans="2:25" ht="15" customHeight="1" x14ac:dyDescent="0.25">
      <c r="B42" s="46"/>
      <c r="C42" s="46"/>
      <c r="D42" s="47"/>
      <c r="E42" s="58">
        <f t="shared" si="7"/>
        <v>0</v>
      </c>
      <c r="F42" s="85" t="str">
        <f t="shared" si="8"/>
        <v xml:space="preserve"> </v>
      </c>
      <c r="G42" s="85" t="str">
        <f t="shared" si="9"/>
        <v xml:space="preserve"> </v>
      </c>
      <c r="H42" s="85" t="str">
        <f t="shared" si="0"/>
        <v/>
      </c>
      <c r="I42" s="109"/>
      <c r="J42" s="108">
        <f t="shared" si="10"/>
        <v>0</v>
      </c>
      <c r="K42" s="85" t="str">
        <f t="shared" si="1"/>
        <v/>
      </c>
      <c r="L42" s="109"/>
      <c r="M42" s="108">
        <f t="shared" si="15"/>
        <v>0</v>
      </c>
      <c r="N42" s="85" t="str">
        <f t="shared" si="2"/>
        <v/>
      </c>
      <c r="O42" s="109"/>
      <c r="P42" s="108">
        <f t="shared" si="12"/>
        <v>0</v>
      </c>
      <c r="Q42" s="85" t="str">
        <f t="shared" si="3"/>
        <v/>
      </c>
      <c r="R42" s="109"/>
      <c r="S42" s="108">
        <f t="shared" si="4"/>
        <v>0</v>
      </c>
      <c r="T42" s="85" t="str">
        <f t="shared" si="5"/>
        <v/>
      </c>
      <c r="U42" s="86"/>
      <c r="V42" s="59">
        <f t="shared" si="13"/>
        <v>0</v>
      </c>
      <c r="W42" s="85" t="str">
        <f t="shared" si="6"/>
        <v/>
      </c>
      <c r="X42" s="86"/>
      <c r="Y42" s="59">
        <f t="shared" si="14"/>
        <v>0</v>
      </c>
    </row>
    <row r="43" spans="2:25" ht="15" customHeight="1" x14ac:dyDescent="0.25">
      <c r="B43" s="46"/>
      <c r="C43" s="46"/>
      <c r="D43" s="47"/>
      <c r="E43" s="58">
        <f t="shared" si="7"/>
        <v>0</v>
      </c>
      <c r="F43" s="85" t="str">
        <f t="shared" si="8"/>
        <v xml:space="preserve"> </v>
      </c>
      <c r="G43" s="85" t="str">
        <f t="shared" si="9"/>
        <v xml:space="preserve"> </v>
      </c>
      <c r="H43" s="85" t="str">
        <f t="shared" si="0"/>
        <v/>
      </c>
      <c r="I43" s="109"/>
      <c r="J43" s="108">
        <f t="shared" si="10"/>
        <v>0</v>
      </c>
      <c r="K43" s="85" t="str">
        <f t="shared" si="1"/>
        <v/>
      </c>
      <c r="L43" s="109"/>
      <c r="M43" s="108">
        <f t="shared" si="15"/>
        <v>0</v>
      </c>
      <c r="N43" s="85" t="str">
        <f t="shared" si="2"/>
        <v/>
      </c>
      <c r="O43" s="109"/>
      <c r="P43" s="108">
        <f t="shared" si="12"/>
        <v>0</v>
      </c>
      <c r="Q43" s="85" t="str">
        <f t="shared" si="3"/>
        <v/>
      </c>
      <c r="R43" s="109"/>
      <c r="S43" s="108">
        <f t="shared" si="4"/>
        <v>0</v>
      </c>
      <c r="T43" s="85" t="str">
        <f t="shared" si="5"/>
        <v/>
      </c>
      <c r="U43" s="86"/>
      <c r="V43" s="59">
        <f t="shared" si="13"/>
        <v>0</v>
      </c>
      <c r="W43" s="85" t="str">
        <f t="shared" si="6"/>
        <v/>
      </c>
      <c r="X43" s="86"/>
      <c r="Y43" s="59">
        <f t="shared" si="14"/>
        <v>0</v>
      </c>
    </row>
    <row r="44" spans="2:25" ht="15" customHeight="1" x14ac:dyDescent="0.25">
      <c r="B44" s="46"/>
      <c r="C44" s="46"/>
      <c r="D44" s="47"/>
      <c r="E44" s="58">
        <f t="shared" si="7"/>
        <v>0</v>
      </c>
      <c r="F44" s="85" t="str">
        <f t="shared" si="8"/>
        <v xml:space="preserve"> </v>
      </c>
      <c r="G44" s="85" t="str">
        <f t="shared" si="9"/>
        <v xml:space="preserve"> </v>
      </c>
      <c r="H44" s="85" t="str">
        <f t="shared" si="0"/>
        <v/>
      </c>
      <c r="I44" s="109"/>
      <c r="J44" s="108">
        <f t="shared" si="10"/>
        <v>0</v>
      </c>
      <c r="K44" s="85" t="str">
        <f t="shared" si="1"/>
        <v/>
      </c>
      <c r="L44" s="109"/>
      <c r="M44" s="108">
        <f t="shared" si="15"/>
        <v>0</v>
      </c>
      <c r="N44" s="85" t="str">
        <f t="shared" si="2"/>
        <v/>
      </c>
      <c r="O44" s="109"/>
      <c r="P44" s="108">
        <f t="shared" si="12"/>
        <v>0</v>
      </c>
      <c r="Q44" s="85" t="str">
        <f t="shared" si="3"/>
        <v/>
      </c>
      <c r="R44" s="109"/>
      <c r="S44" s="108">
        <f t="shared" si="4"/>
        <v>0</v>
      </c>
      <c r="T44" s="85" t="str">
        <f t="shared" si="5"/>
        <v/>
      </c>
      <c r="U44" s="86"/>
      <c r="V44" s="59">
        <f t="shared" si="13"/>
        <v>0</v>
      </c>
      <c r="W44" s="85" t="str">
        <f t="shared" si="6"/>
        <v/>
      </c>
      <c r="X44" s="86"/>
      <c r="Y44" s="59">
        <f t="shared" si="14"/>
        <v>0</v>
      </c>
    </row>
    <row r="45" spans="2:25" ht="15" customHeight="1" x14ac:dyDescent="0.25">
      <c r="B45" s="46"/>
      <c r="C45" s="46"/>
      <c r="D45" s="47"/>
      <c r="E45" s="58">
        <f t="shared" si="7"/>
        <v>0</v>
      </c>
      <c r="F45" s="85" t="str">
        <f t="shared" si="8"/>
        <v xml:space="preserve"> </v>
      </c>
      <c r="G45" s="85" t="str">
        <f t="shared" si="9"/>
        <v xml:space="preserve"> </v>
      </c>
      <c r="H45" s="85" t="str">
        <f t="shared" si="0"/>
        <v/>
      </c>
      <c r="I45" s="109"/>
      <c r="J45" s="108">
        <f t="shared" si="10"/>
        <v>0</v>
      </c>
      <c r="K45" s="85" t="str">
        <f t="shared" si="1"/>
        <v/>
      </c>
      <c r="L45" s="109"/>
      <c r="M45" s="108">
        <f t="shared" si="15"/>
        <v>0</v>
      </c>
      <c r="N45" s="85" t="str">
        <f t="shared" si="2"/>
        <v/>
      </c>
      <c r="O45" s="109"/>
      <c r="P45" s="108">
        <f t="shared" si="12"/>
        <v>0</v>
      </c>
      <c r="Q45" s="85" t="str">
        <f t="shared" si="3"/>
        <v/>
      </c>
      <c r="R45" s="109"/>
      <c r="S45" s="108">
        <f t="shared" si="4"/>
        <v>0</v>
      </c>
      <c r="T45" s="85" t="str">
        <f t="shared" si="5"/>
        <v/>
      </c>
      <c r="U45" s="86"/>
      <c r="V45" s="59">
        <f t="shared" si="13"/>
        <v>0</v>
      </c>
      <c r="W45" s="85" t="str">
        <f t="shared" si="6"/>
        <v/>
      </c>
      <c r="X45" s="86"/>
      <c r="Y45" s="59">
        <f t="shared" si="14"/>
        <v>0</v>
      </c>
    </row>
    <row r="46" spans="2:25" ht="15" customHeight="1" x14ac:dyDescent="0.25">
      <c r="B46" s="46"/>
      <c r="C46" s="46"/>
      <c r="D46" s="47"/>
      <c r="E46" s="58">
        <f t="shared" si="7"/>
        <v>0</v>
      </c>
      <c r="F46" s="85" t="str">
        <f t="shared" si="8"/>
        <v xml:space="preserve"> </v>
      </c>
      <c r="G46" s="85" t="str">
        <f t="shared" si="9"/>
        <v xml:space="preserve"> </v>
      </c>
      <c r="H46" s="85" t="str">
        <f t="shared" si="0"/>
        <v/>
      </c>
      <c r="I46" s="109"/>
      <c r="J46" s="108">
        <f t="shared" si="10"/>
        <v>0</v>
      </c>
      <c r="K46" s="85" t="str">
        <f t="shared" si="1"/>
        <v/>
      </c>
      <c r="L46" s="109"/>
      <c r="M46" s="108">
        <f t="shared" si="15"/>
        <v>0</v>
      </c>
      <c r="N46" s="85" t="str">
        <f t="shared" si="2"/>
        <v/>
      </c>
      <c r="O46" s="109"/>
      <c r="P46" s="108">
        <f t="shared" si="12"/>
        <v>0</v>
      </c>
      <c r="Q46" s="85" t="str">
        <f t="shared" si="3"/>
        <v/>
      </c>
      <c r="R46" s="109"/>
      <c r="S46" s="108">
        <f t="shared" si="4"/>
        <v>0</v>
      </c>
      <c r="T46" s="85" t="str">
        <f t="shared" si="5"/>
        <v/>
      </c>
      <c r="U46" s="86"/>
      <c r="V46" s="59">
        <f t="shared" si="13"/>
        <v>0</v>
      </c>
      <c r="W46" s="85" t="str">
        <f t="shared" si="6"/>
        <v/>
      </c>
      <c r="X46" s="86"/>
      <c r="Y46" s="59">
        <f t="shared" si="14"/>
        <v>0</v>
      </c>
    </row>
    <row r="47" spans="2:25" ht="15" customHeight="1" x14ac:dyDescent="0.25">
      <c r="B47" s="46"/>
      <c r="C47" s="46"/>
      <c r="D47" s="47"/>
      <c r="E47" s="58">
        <f t="shared" si="7"/>
        <v>0</v>
      </c>
      <c r="F47" s="85" t="str">
        <f t="shared" si="8"/>
        <v xml:space="preserve"> </v>
      </c>
      <c r="G47" s="85" t="str">
        <f t="shared" si="9"/>
        <v xml:space="preserve"> </v>
      </c>
      <c r="H47" s="85" t="str">
        <f t="shared" si="0"/>
        <v/>
      </c>
      <c r="I47" s="109"/>
      <c r="J47" s="108">
        <f t="shared" si="10"/>
        <v>0</v>
      </c>
      <c r="K47" s="85" t="str">
        <f t="shared" si="1"/>
        <v/>
      </c>
      <c r="L47" s="109"/>
      <c r="M47" s="108">
        <f t="shared" si="15"/>
        <v>0</v>
      </c>
      <c r="N47" s="85" t="str">
        <f t="shared" si="2"/>
        <v/>
      </c>
      <c r="O47" s="109"/>
      <c r="P47" s="108">
        <f t="shared" si="12"/>
        <v>0</v>
      </c>
      <c r="Q47" s="85" t="str">
        <f t="shared" si="3"/>
        <v/>
      </c>
      <c r="R47" s="109"/>
      <c r="S47" s="108">
        <f t="shared" si="4"/>
        <v>0</v>
      </c>
      <c r="T47" s="85" t="str">
        <f t="shared" si="5"/>
        <v/>
      </c>
      <c r="U47" s="86"/>
      <c r="V47" s="59">
        <f t="shared" si="13"/>
        <v>0</v>
      </c>
      <c r="W47" s="85" t="str">
        <f t="shared" si="6"/>
        <v/>
      </c>
      <c r="X47" s="86"/>
      <c r="Y47" s="59">
        <f t="shared" si="14"/>
        <v>0</v>
      </c>
    </row>
    <row r="48" spans="2:25" ht="15" customHeight="1" x14ac:dyDescent="0.25">
      <c r="B48" s="46"/>
      <c r="C48" s="46"/>
      <c r="D48" s="47"/>
      <c r="E48" s="58">
        <f t="shared" si="7"/>
        <v>0</v>
      </c>
      <c r="F48" s="85" t="str">
        <f t="shared" si="8"/>
        <v xml:space="preserve"> </v>
      </c>
      <c r="G48" s="85" t="str">
        <f t="shared" si="9"/>
        <v xml:space="preserve"> </v>
      </c>
      <c r="H48" s="85" t="str">
        <f t="shared" si="0"/>
        <v/>
      </c>
      <c r="I48" s="109"/>
      <c r="J48" s="108">
        <f t="shared" si="10"/>
        <v>0</v>
      </c>
      <c r="K48" s="85" t="str">
        <f t="shared" si="1"/>
        <v/>
      </c>
      <c r="L48" s="109"/>
      <c r="M48" s="108">
        <f t="shared" si="15"/>
        <v>0</v>
      </c>
      <c r="N48" s="85" t="str">
        <f t="shared" si="2"/>
        <v/>
      </c>
      <c r="O48" s="109"/>
      <c r="P48" s="108">
        <f t="shared" si="12"/>
        <v>0</v>
      </c>
      <c r="Q48" s="85" t="str">
        <f t="shared" si="3"/>
        <v/>
      </c>
      <c r="R48" s="109"/>
      <c r="S48" s="108">
        <f t="shared" si="4"/>
        <v>0</v>
      </c>
      <c r="T48" s="85" t="str">
        <f t="shared" si="5"/>
        <v/>
      </c>
      <c r="U48" s="86"/>
      <c r="V48" s="59">
        <f t="shared" si="13"/>
        <v>0</v>
      </c>
      <c r="W48" s="85" t="str">
        <f t="shared" si="6"/>
        <v/>
      </c>
      <c r="X48" s="86"/>
      <c r="Y48" s="59">
        <f t="shared" si="14"/>
        <v>0</v>
      </c>
    </row>
    <row r="49" spans="2:25" ht="15" customHeight="1" x14ac:dyDescent="0.25">
      <c r="B49" s="46"/>
      <c r="C49" s="46"/>
      <c r="D49" s="47"/>
      <c r="E49" s="58">
        <f t="shared" si="7"/>
        <v>0</v>
      </c>
      <c r="F49" s="85" t="str">
        <f t="shared" si="8"/>
        <v xml:space="preserve"> </v>
      </c>
      <c r="G49" s="85" t="str">
        <f t="shared" si="9"/>
        <v xml:space="preserve"> </v>
      </c>
      <c r="H49" s="85" t="str">
        <f t="shared" si="0"/>
        <v/>
      </c>
      <c r="I49" s="109"/>
      <c r="J49" s="108">
        <f t="shared" si="10"/>
        <v>0</v>
      </c>
      <c r="K49" s="85" t="str">
        <f t="shared" si="1"/>
        <v/>
      </c>
      <c r="L49" s="109"/>
      <c r="M49" s="108">
        <f t="shared" si="15"/>
        <v>0</v>
      </c>
      <c r="N49" s="85" t="str">
        <f t="shared" si="2"/>
        <v/>
      </c>
      <c r="O49" s="109"/>
      <c r="P49" s="108">
        <f t="shared" si="12"/>
        <v>0</v>
      </c>
      <c r="Q49" s="85" t="str">
        <f t="shared" si="3"/>
        <v/>
      </c>
      <c r="R49" s="109"/>
      <c r="S49" s="108">
        <f t="shared" si="4"/>
        <v>0</v>
      </c>
      <c r="T49" s="85" t="str">
        <f t="shared" si="5"/>
        <v/>
      </c>
      <c r="U49" s="86"/>
      <c r="V49" s="59">
        <f t="shared" si="13"/>
        <v>0</v>
      </c>
      <c r="W49" s="85" t="str">
        <f t="shared" si="6"/>
        <v/>
      </c>
      <c r="X49" s="86"/>
      <c r="Y49" s="59">
        <f t="shared" si="14"/>
        <v>0</v>
      </c>
    </row>
    <row r="50" spans="2:25" ht="15" customHeight="1" x14ac:dyDescent="0.25">
      <c r="B50" s="46"/>
      <c r="C50" s="46"/>
      <c r="D50" s="47"/>
      <c r="E50" s="58">
        <f t="shared" si="7"/>
        <v>0</v>
      </c>
      <c r="F50" s="85" t="str">
        <f t="shared" si="8"/>
        <v xml:space="preserve"> </v>
      </c>
      <c r="G50" s="85" t="str">
        <f t="shared" si="9"/>
        <v xml:space="preserve"> </v>
      </c>
      <c r="H50" s="85" t="str">
        <f t="shared" si="0"/>
        <v/>
      </c>
      <c r="I50" s="109"/>
      <c r="J50" s="108">
        <f t="shared" si="10"/>
        <v>0</v>
      </c>
      <c r="K50" s="85" t="str">
        <f t="shared" si="1"/>
        <v/>
      </c>
      <c r="L50" s="109"/>
      <c r="M50" s="108">
        <f t="shared" si="15"/>
        <v>0</v>
      </c>
      <c r="N50" s="85" t="str">
        <f t="shared" si="2"/>
        <v/>
      </c>
      <c r="O50" s="109"/>
      <c r="P50" s="108">
        <f t="shared" si="12"/>
        <v>0</v>
      </c>
      <c r="Q50" s="85" t="str">
        <f t="shared" si="3"/>
        <v/>
      </c>
      <c r="R50" s="109"/>
      <c r="S50" s="108">
        <f t="shared" si="4"/>
        <v>0</v>
      </c>
      <c r="T50" s="85" t="str">
        <f t="shared" si="5"/>
        <v/>
      </c>
      <c r="U50" s="86"/>
      <c r="V50" s="59">
        <f t="shared" si="13"/>
        <v>0</v>
      </c>
      <c r="W50" s="85" t="str">
        <f t="shared" si="6"/>
        <v/>
      </c>
      <c r="X50" s="86"/>
      <c r="Y50" s="59">
        <f t="shared" si="14"/>
        <v>0</v>
      </c>
    </row>
    <row r="51" spans="2:25" ht="15" customHeight="1" x14ac:dyDescent="0.25">
      <c r="B51" s="46"/>
      <c r="C51" s="46"/>
      <c r="D51" s="47"/>
      <c r="E51" s="58">
        <f t="shared" si="7"/>
        <v>0</v>
      </c>
      <c r="F51" s="85" t="str">
        <f t="shared" si="8"/>
        <v xml:space="preserve"> </v>
      </c>
      <c r="G51" s="85" t="str">
        <f t="shared" si="9"/>
        <v xml:space="preserve"> </v>
      </c>
      <c r="H51" s="85" t="str">
        <f t="shared" si="0"/>
        <v/>
      </c>
      <c r="I51" s="109"/>
      <c r="J51" s="108">
        <f t="shared" si="10"/>
        <v>0</v>
      </c>
      <c r="K51" s="85" t="str">
        <f t="shared" si="1"/>
        <v/>
      </c>
      <c r="L51" s="109"/>
      <c r="M51" s="108">
        <f t="shared" si="15"/>
        <v>0</v>
      </c>
      <c r="N51" s="85" t="str">
        <f t="shared" si="2"/>
        <v/>
      </c>
      <c r="O51" s="109"/>
      <c r="P51" s="108">
        <f t="shared" si="12"/>
        <v>0</v>
      </c>
      <c r="Q51" s="85" t="str">
        <f t="shared" si="3"/>
        <v/>
      </c>
      <c r="R51" s="109"/>
      <c r="S51" s="108">
        <f t="shared" si="4"/>
        <v>0</v>
      </c>
      <c r="T51" s="85" t="str">
        <f t="shared" si="5"/>
        <v/>
      </c>
      <c r="U51" s="86"/>
      <c r="V51" s="59">
        <f t="shared" si="13"/>
        <v>0</v>
      </c>
      <c r="W51" s="85" t="str">
        <f t="shared" si="6"/>
        <v/>
      </c>
      <c r="X51" s="86"/>
      <c r="Y51" s="59">
        <f t="shared" si="14"/>
        <v>0</v>
      </c>
    </row>
    <row r="52" spans="2:25" ht="15" customHeight="1" x14ac:dyDescent="0.25">
      <c r="B52" s="46"/>
      <c r="C52" s="46"/>
      <c r="D52" s="47"/>
      <c r="E52" s="58">
        <f t="shared" si="7"/>
        <v>0</v>
      </c>
      <c r="F52" s="85" t="str">
        <f t="shared" si="8"/>
        <v xml:space="preserve"> </v>
      </c>
      <c r="G52" s="85" t="str">
        <f t="shared" si="9"/>
        <v xml:space="preserve"> </v>
      </c>
      <c r="H52" s="85" t="str">
        <f t="shared" si="0"/>
        <v/>
      </c>
      <c r="I52" s="109"/>
      <c r="J52" s="108">
        <f t="shared" si="10"/>
        <v>0</v>
      </c>
      <c r="K52" s="85" t="str">
        <f t="shared" si="1"/>
        <v/>
      </c>
      <c r="L52" s="109"/>
      <c r="M52" s="108">
        <f t="shared" si="15"/>
        <v>0</v>
      </c>
      <c r="N52" s="85" t="str">
        <f t="shared" si="2"/>
        <v/>
      </c>
      <c r="O52" s="109"/>
      <c r="P52" s="108">
        <f t="shared" si="12"/>
        <v>0</v>
      </c>
      <c r="Q52" s="85" t="str">
        <f t="shared" si="3"/>
        <v/>
      </c>
      <c r="R52" s="109"/>
      <c r="S52" s="108">
        <f t="shared" si="4"/>
        <v>0</v>
      </c>
      <c r="T52" s="85" t="str">
        <f t="shared" si="5"/>
        <v/>
      </c>
      <c r="U52" s="86"/>
      <c r="V52" s="59">
        <f t="shared" si="13"/>
        <v>0</v>
      </c>
      <c r="W52" s="85" t="str">
        <f t="shared" si="6"/>
        <v/>
      </c>
      <c r="X52" s="86"/>
      <c r="Y52" s="59">
        <f t="shared" si="14"/>
        <v>0</v>
      </c>
    </row>
    <row r="53" spans="2:25" ht="15" customHeight="1" x14ac:dyDescent="0.25">
      <c r="B53" s="46"/>
      <c r="C53" s="46"/>
      <c r="D53" s="47"/>
      <c r="E53" s="58">
        <f t="shared" si="7"/>
        <v>0</v>
      </c>
      <c r="F53" s="85" t="str">
        <f t="shared" si="8"/>
        <v xml:space="preserve"> </v>
      </c>
      <c r="G53" s="85" t="str">
        <f t="shared" si="9"/>
        <v xml:space="preserve"> </v>
      </c>
      <c r="H53" s="85" t="str">
        <f t="shared" si="0"/>
        <v/>
      </c>
      <c r="I53" s="109"/>
      <c r="J53" s="108">
        <f t="shared" si="10"/>
        <v>0</v>
      </c>
      <c r="K53" s="85" t="str">
        <f t="shared" si="1"/>
        <v/>
      </c>
      <c r="L53" s="109"/>
      <c r="M53" s="108">
        <f t="shared" si="15"/>
        <v>0</v>
      </c>
      <c r="N53" s="85" t="str">
        <f t="shared" si="2"/>
        <v/>
      </c>
      <c r="O53" s="109"/>
      <c r="P53" s="108">
        <f t="shared" si="12"/>
        <v>0</v>
      </c>
      <c r="Q53" s="85" t="str">
        <f t="shared" si="3"/>
        <v/>
      </c>
      <c r="R53" s="109"/>
      <c r="S53" s="108">
        <f t="shared" si="4"/>
        <v>0</v>
      </c>
      <c r="T53" s="85" t="str">
        <f t="shared" si="5"/>
        <v/>
      </c>
      <c r="U53" s="86"/>
      <c r="V53" s="59">
        <f t="shared" si="13"/>
        <v>0</v>
      </c>
      <c r="W53" s="85" t="str">
        <f t="shared" si="6"/>
        <v/>
      </c>
      <c r="X53" s="86"/>
      <c r="Y53" s="59">
        <f t="shared" si="14"/>
        <v>0</v>
      </c>
    </row>
    <row r="54" spans="2:25" ht="15" customHeight="1" x14ac:dyDescent="0.25">
      <c r="B54" s="78"/>
      <c r="C54" s="78"/>
      <c r="D54" s="79"/>
      <c r="E54" s="80"/>
      <c r="F54" s="82"/>
      <c r="G54" s="82"/>
      <c r="H54" s="82"/>
      <c r="I54" s="83"/>
      <c r="J54" s="81"/>
      <c r="K54" s="84"/>
      <c r="L54" s="83"/>
      <c r="M54" s="81"/>
      <c r="N54" s="81"/>
      <c r="O54" s="83"/>
      <c r="P54" s="81"/>
      <c r="Q54" s="81"/>
      <c r="R54" s="81"/>
      <c r="S54" s="81"/>
      <c r="T54" s="81"/>
      <c r="U54" s="81"/>
      <c r="V54" s="81"/>
      <c r="W54" s="84"/>
      <c r="X54" s="83"/>
      <c r="Y54" s="81"/>
    </row>
    <row r="55" spans="2:25" ht="15" customHeight="1" x14ac:dyDescent="0.25">
      <c r="B55" s="48"/>
      <c r="D55" s="145" t="s">
        <v>30</v>
      </c>
      <c r="E55" s="146"/>
      <c r="F55" s="146"/>
      <c r="G55" s="146"/>
      <c r="H55" s="146"/>
      <c r="I55" s="49"/>
      <c r="J55" s="49"/>
      <c r="K55" s="49"/>
      <c r="L55" s="49"/>
      <c r="M55" s="49"/>
      <c r="N55" s="77" t="str">
        <f>+IF(O55&lt;=2,$H$5,IF(O55&lt;=3,$H$6,IF(O55&lt;=4,$H$7,IF(O55&lt;=5,$H$8,IF(O55&gt;5,"Error")))))</f>
        <v>Poor</v>
      </c>
      <c r="O55" s="49"/>
      <c r="P55" s="49"/>
      <c r="Q55" s="49"/>
      <c r="R55" s="49"/>
      <c r="S55" s="49"/>
      <c r="T55" s="49"/>
      <c r="U55" s="49"/>
      <c r="V55" s="49"/>
      <c r="W55" s="49"/>
      <c r="X55" s="49"/>
    </row>
    <row r="56" spans="2:25" ht="33" customHeight="1" x14ac:dyDescent="0.25">
      <c r="D56" s="54" t="s">
        <v>62</v>
      </c>
      <c r="E56" s="60" t="s">
        <v>63</v>
      </c>
      <c r="F56" s="61" t="s">
        <v>64</v>
      </c>
      <c r="G56" s="62" t="s">
        <v>65</v>
      </c>
      <c r="H56" s="63" t="s">
        <v>66</v>
      </c>
      <c r="J56" s="51"/>
      <c r="K56" s="51"/>
      <c r="L56" s="51"/>
      <c r="M56" s="51"/>
      <c r="O56" s="51"/>
      <c r="P56" s="51"/>
      <c r="Q56" s="51"/>
      <c r="R56" s="51"/>
      <c r="S56" s="51"/>
      <c r="T56" s="51"/>
      <c r="U56" s="51"/>
      <c r="V56" s="51"/>
    </row>
    <row r="57" spans="2:25" ht="15" customHeight="1" x14ac:dyDescent="0.25">
      <c r="B57" s="50" t="s">
        <v>67</v>
      </c>
      <c r="C57" s="50"/>
      <c r="D57" s="64" t="s">
        <v>68</v>
      </c>
      <c r="E57" s="53">
        <f>(COUNTIF(H14:H53,"Poor"))/(COUNTA(H14:H53))</f>
        <v>0</v>
      </c>
      <c r="F57" s="53">
        <f>(COUNTIF(H14:H53,"Inadequate"))/(COUNTA(H14:H53))</f>
        <v>0</v>
      </c>
      <c r="G57" s="53">
        <f>(COUNTIF(H14:H53,"Adequate"))/(COUNTA(H14:H53))</f>
        <v>0</v>
      </c>
      <c r="H57" s="53">
        <f>(COUNTIF(H14:H53,"Exemplary"))/(COUNTA(H14:H53))</f>
        <v>0</v>
      </c>
      <c r="J57" s="52"/>
      <c r="K57" s="52"/>
      <c r="L57" s="52"/>
      <c r="M57" s="52"/>
      <c r="O57" s="52"/>
      <c r="P57" s="52"/>
      <c r="Q57" s="52"/>
      <c r="R57" s="52"/>
      <c r="S57" s="52"/>
      <c r="T57" s="52"/>
      <c r="U57" s="52"/>
      <c r="V57" s="52"/>
    </row>
    <row r="58" spans="2:25" ht="15" customHeight="1" x14ac:dyDescent="0.25">
      <c r="B58" s="50"/>
      <c r="C58" s="50"/>
      <c r="D58" s="64" t="s">
        <v>69</v>
      </c>
      <c r="E58" s="53">
        <f>(COUNTIF(K14:K53,"Poor"))/(COUNTA(K14:K53))</f>
        <v>0</v>
      </c>
      <c r="F58" s="53">
        <f>(COUNTIF(K14:K53,"Inadequate"))/(COUNTA(K14:K53))</f>
        <v>0</v>
      </c>
      <c r="G58" s="53">
        <f>(COUNTIF(K14:K53,"Adequate"))/(COUNTA(K14:K53))</f>
        <v>0</v>
      </c>
      <c r="H58" s="53">
        <f>(COUNTIF(K14:K53,"Exemplary"))/(COUNTA(K14:K53))</f>
        <v>0</v>
      </c>
      <c r="J58" s="52"/>
      <c r="K58" s="52"/>
      <c r="L58" s="52"/>
      <c r="M58" s="52"/>
      <c r="O58" s="52"/>
      <c r="P58" s="52"/>
      <c r="Q58" s="52"/>
      <c r="R58" s="52"/>
      <c r="S58" s="52"/>
      <c r="T58" s="52"/>
      <c r="U58" s="52"/>
      <c r="V58" s="52"/>
    </row>
    <row r="59" spans="2:25" ht="15" customHeight="1" x14ac:dyDescent="0.25">
      <c r="B59" s="50"/>
      <c r="C59" s="50"/>
      <c r="D59" s="64" t="s">
        <v>70</v>
      </c>
      <c r="E59" s="53">
        <f>(COUNTIF(N14:N53,"Poor"))/(COUNTA(N14:N53))</f>
        <v>0</v>
      </c>
      <c r="F59" s="53">
        <f>(COUNTIF(N14:N53,"Inadequate"))/(COUNTA(N14:N53))</f>
        <v>0</v>
      </c>
      <c r="G59" s="53">
        <f>(COUNTIF(N14:N53,"Adequate"))/(COUNTA(N14:N53))</f>
        <v>0</v>
      </c>
      <c r="H59" s="53">
        <f>(COUNTIF(N14:N53,"Exemplary"))/(COUNTA(N14:N53))</f>
        <v>0</v>
      </c>
      <c r="J59" s="52"/>
      <c r="K59" s="52"/>
      <c r="L59" s="52"/>
      <c r="M59" s="52"/>
      <c r="O59" s="52"/>
      <c r="P59" s="52"/>
      <c r="Q59" s="52"/>
      <c r="R59" s="52"/>
      <c r="S59" s="52"/>
      <c r="T59" s="52"/>
      <c r="U59" s="52"/>
      <c r="V59" s="52"/>
    </row>
    <row r="60" spans="2:25" ht="15" customHeight="1" x14ac:dyDescent="0.25">
      <c r="B60" s="50"/>
      <c r="C60" s="50"/>
      <c r="D60" s="64" t="s">
        <v>71</v>
      </c>
      <c r="E60" s="53">
        <f>(COUNTIF(Q14:Q53,"Poor"))/(COUNTA(Q14:Q53))</f>
        <v>0</v>
      </c>
      <c r="F60" s="53">
        <f>(COUNTIF(Q14:Q53,"Inadequate"))/(COUNTA(Q14:Q53))</f>
        <v>0</v>
      </c>
      <c r="G60" s="53">
        <f>(COUNTIF(Q14:Q53,"Adequate"))/(COUNTA(Q14:Q53))</f>
        <v>0</v>
      </c>
      <c r="H60" s="53">
        <f>(COUNTIF(Q14:Q53,"Exemplary"))/(COUNTA(Q14:Q53))</f>
        <v>0</v>
      </c>
      <c r="J60" s="52"/>
      <c r="K60" s="52"/>
      <c r="L60" s="52"/>
      <c r="M60" s="52"/>
      <c r="O60" s="52"/>
      <c r="P60" s="52"/>
      <c r="Q60" s="52"/>
      <c r="R60" s="52"/>
      <c r="S60" s="52"/>
      <c r="T60" s="52"/>
      <c r="U60" s="52"/>
      <c r="V60" s="52"/>
    </row>
    <row r="61" spans="2:25" ht="15" customHeight="1" x14ac:dyDescent="0.25">
      <c r="D61" s="64" t="s">
        <v>72</v>
      </c>
      <c r="E61" s="53">
        <f>(COUNTIF(T14:T53,"Poor"))/(COUNTA(T14:T53))</f>
        <v>0</v>
      </c>
      <c r="F61" s="53">
        <f>(COUNTIF(T14:T53,"Inadequate"))/(COUNTA(T14:T53))</f>
        <v>0</v>
      </c>
      <c r="G61" s="53">
        <f>(COUNTIF(T14:T53,"Adequate"))/(COUNTA(T14:T53))</f>
        <v>0</v>
      </c>
      <c r="H61" s="53">
        <f>(COUNTIF(T14:T53,"Exemplary"))/(COUNTA(T14:T53))</f>
        <v>0</v>
      </c>
    </row>
    <row r="62" spans="2:25" ht="15" customHeight="1" x14ac:dyDescent="0.25">
      <c r="D62" s="64" t="s">
        <v>73</v>
      </c>
      <c r="E62" s="53">
        <f>(COUNTIF(W14:W53,"Poor"))/(COUNTA(W14:W53))</f>
        <v>0</v>
      </c>
      <c r="F62" s="53">
        <f>(COUNTIF(W14:W53,"Inadequate"))/(COUNTA(W14:W53))</f>
        <v>0</v>
      </c>
      <c r="G62" s="53">
        <f>(COUNTIF(W14:W53,"Adequate"))/(COUNTA(W14:W53))</f>
        <v>0</v>
      </c>
      <c r="H62" s="53">
        <f>(COUNTIF(W14:W53,"Exemplary"))/(COUNTA(W14:W53))</f>
        <v>0</v>
      </c>
    </row>
    <row r="69" spans="2:25" ht="15" customHeight="1" thickBot="1" x14ac:dyDescent="0.3"/>
    <row r="70" spans="2:25" ht="15" customHeight="1" x14ac:dyDescent="0.25">
      <c r="B70" s="133" t="s">
        <v>74</v>
      </c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5"/>
    </row>
    <row r="71" spans="2:25" ht="15" customHeight="1" x14ac:dyDescent="0.25">
      <c r="B71" s="136" t="s">
        <v>75</v>
      </c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8"/>
    </row>
    <row r="72" spans="2:25" ht="15" customHeight="1" x14ac:dyDescent="0.25">
      <c r="B72" s="136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8"/>
    </row>
    <row r="73" spans="2:25" ht="15" customHeight="1" x14ac:dyDescent="0.25">
      <c r="B73" s="136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8"/>
    </row>
    <row r="74" spans="2:25" ht="15" customHeight="1" x14ac:dyDescent="0.25">
      <c r="B74" s="136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8"/>
    </row>
    <row r="75" spans="2:25" ht="15" customHeight="1" x14ac:dyDescent="0.25">
      <c r="B75" s="136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8"/>
    </row>
    <row r="76" spans="2:25" ht="15" customHeight="1" x14ac:dyDescent="0.25">
      <c r="B76" s="136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8"/>
    </row>
    <row r="77" spans="2:25" ht="15" customHeight="1" x14ac:dyDescent="0.25">
      <c r="B77" s="136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8"/>
    </row>
    <row r="78" spans="2:25" ht="15" customHeight="1" x14ac:dyDescent="0.25">
      <c r="B78" s="136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8"/>
    </row>
    <row r="79" spans="2:25" ht="15" customHeight="1" x14ac:dyDescent="0.25">
      <c r="B79" s="136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8"/>
    </row>
    <row r="80" spans="2:25" ht="15" customHeight="1" x14ac:dyDescent="0.25">
      <c r="B80" s="136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8"/>
    </row>
    <row r="81" spans="2:25" ht="15" customHeight="1" thickBot="1" x14ac:dyDescent="0.3">
      <c r="B81" s="139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1"/>
    </row>
  </sheetData>
  <sheetProtection deleteRows="0" sort="0"/>
  <protectedRanges>
    <protectedRange algorithmName="SHA-512" hashValue="XJE1A95pR2nvdCEZvLPFlnww3Ipphg+fvDZEZhC/G82nkY5QoZhUTcOS8M/JQY2bnd6y56V4MAu63VYgWmDXOQ==" saltValue="XZH2HCh3HImkpbI7jxig1w==" spinCount="100000" sqref="B14:D54 O14:O54 R14:R53 U14:U53 X14:X54 L14:L54 I14:I54" name="Modificación Datos"/>
  </protectedRanges>
  <dataConsolidate link="1"/>
  <mergeCells count="25">
    <mergeCell ref="B1:Y1"/>
    <mergeCell ref="B2:Y2"/>
    <mergeCell ref="K12:L12"/>
    <mergeCell ref="N12:O12"/>
    <mergeCell ref="Q12:R12"/>
    <mergeCell ref="H10:Y10"/>
    <mergeCell ref="H11:J11"/>
    <mergeCell ref="K11:M11"/>
    <mergeCell ref="N11:P11"/>
    <mergeCell ref="Q11:S11"/>
    <mergeCell ref="D7:E7"/>
    <mergeCell ref="D8:E8"/>
    <mergeCell ref="B8:C8"/>
    <mergeCell ref="H12:I12"/>
    <mergeCell ref="W12:X12"/>
    <mergeCell ref="T12:U12"/>
    <mergeCell ref="B70:Y70"/>
    <mergeCell ref="B71:Y81"/>
    <mergeCell ref="B4:C4"/>
    <mergeCell ref="B5:C5"/>
    <mergeCell ref="B7:C7"/>
    <mergeCell ref="D55:H55"/>
    <mergeCell ref="T11:V11"/>
    <mergeCell ref="W11:Y11"/>
    <mergeCell ref="B10:G12"/>
  </mergeCells>
  <conditionalFormatting sqref="F54">
    <cfRule type="cellIs" dxfId="20" priority="62" stopIfTrue="1" operator="equal">
      <formula>"Inadequate"</formula>
    </cfRule>
    <cfRule type="cellIs" dxfId="19" priority="63" stopIfTrue="1" operator="equal">
      <formula>"Adequate"</formula>
    </cfRule>
    <cfRule type="cellIs" dxfId="18" priority="64" stopIfTrue="1" operator="equal">
      <formula>"Exemplary"</formula>
    </cfRule>
    <cfRule type="cellIs" dxfId="17" priority="65" stopIfTrue="1" operator="equal">
      <formula>"Poor"</formula>
    </cfRule>
  </conditionalFormatting>
  <conditionalFormatting sqref="Q12:R12">
    <cfRule type="cellIs" dxfId="16" priority="22" operator="equal">
      <formula>"-"</formula>
    </cfRule>
  </conditionalFormatting>
  <conditionalFormatting sqref="E57:H60">
    <cfRule type="cellIs" dxfId="15" priority="21" operator="equal">
      <formula>0</formula>
    </cfRule>
  </conditionalFormatting>
  <conditionalFormatting sqref="J14:J53 P14:P53 M14:M53">
    <cfRule type="cellIs" dxfId="14" priority="19" operator="equal">
      <formula>0</formula>
    </cfRule>
  </conditionalFormatting>
  <conditionalFormatting sqref="J12 M12 P12">
    <cfRule type="cellIs" dxfId="13" priority="17" operator="equal">
      <formula>0</formula>
    </cfRule>
  </conditionalFormatting>
  <conditionalFormatting sqref="V12 Y12">
    <cfRule type="cellIs" dxfId="12" priority="14" operator="equal">
      <formula>0</formula>
    </cfRule>
  </conditionalFormatting>
  <conditionalFormatting sqref="T12:U12 W12:X12">
    <cfRule type="cellIs" dxfId="11" priority="13" operator="equal">
      <formula>"-"</formula>
    </cfRule>
  </conditionalFormatting>
  <conditionalFormatting sqref="V14:V53">
    <cfRule type="cellIs" dxfId="10" priority="12" operator="equal">
      <formula>0</formula>
    </cfRule>
  </conditionalFormatting>
  <conditionalFormatting sqref="Y14:Y53">
    <cfRule type="cellIs" dxfId="9" priority="11" operator="equal">
      <formula>0</formula>
    </cfRule>
  </conditionalFormatting>
  <conditionalFormatting sqref="E61:H61">
    <cfRule type="cellIs" dxfId="8" priority="9" operator="equal">
      <formula>0</formula>
    </cfRule>
  </conditionalFormatting>
  <conditionalFormatting sqref="E62:H62">
    <cfRule type="cellIs" dxfId="7" priority="8" operator="equal">
      <formula>0</formula>
    </cfRule>
  </conditionalFormatting>
  <conditionalFormatting sqref="E14:E53">
    <cfRule type="cellIs" dxfId="6" priority="7" operator="equal">
      <formula>0</formula>
    </cfRule>
  </conditionalFormatting>
  <conditionalFormatting sqref="F14:F53">
    <cfRule type="cellIs" dxfId="5" priority="3" stopIfTrue="1" operator="equal">
      <formula>"Inadequate"</formula>
    </cfRule>
    <cfRule type="cellIs" dxfId="4" priority="4" stopIfTrue="1" operator="equal">
      <formula>"Adequate"</formula>
    </cfRule>
    <cfRule type="cellIs" dxfId="3" priority="5" stopIfTrue="1" operator="equal">
      <formula>"Exemplary"</formula>
    </cfRule>
    <cfRule type="cellIs" dxfId="2" priority="6" stopIfTrue="1" operator="equal">
      <formula>"Poor"</formula>
    </cfRule>
  </conditionalFormatting>
  <conditionalFormatting sqref="S14:S53">
    <cfRule type="cellIs" dxfId="1" priority="2" operator="equal">
      <formula>0</formula>
    </cfRule>
  </conditionalFormatting>
  <conditionalFormatting sqref="S12">
    <cfRule type="cellIs" dxfId="0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scale="44" orientation="landscape" useFirstPageNumber="1" r:id="rId1"/>
  <headerFooter alignWithMargins="0"/>
  <ignoredErrors>
    <ignoredError sqref="I5:I8 J5:K8" unlockedFormula="1"/>
  </ignoredErrors>
  <drawing r:id="rId2"/>
  <legacyDrawing r:id="rId3"/>
  <controls>
    <mc:AlternateContent xmlns:mc="http://schemas.openxmlformats.org/markup-compatibility/2006">
      <mc:Choice Requires="x14">
        <control shapeId="1025" r:id="rId4" name="Ocultar_Instrucciones">
          <controlPr defaultSize="0" autoLine="0" r:id="rId5">
            <anchor moveWithCells="1">
              <from>
                <xdr:col>5</xdr:col>
                <xdr:colOff>247650</xdr:colOff>
                <xdr:row>3</xdr:row>
                <xdr:rowOff>38100</xdr:rowOff>
              </from>
              <to>
                <xdr:col>6</xdr:col>
                <xdr:colOff>381000</xdr:colOff>
                <xdr:row>4</xdr:row>
                <xdr:rowOff>142875</xdr:rowOff>
              </to>
            </anchor>
          </controlPr>
        </control>
      </mc:Choice>
      <mc:Fallback>
        <control shapeId="1025" r:id="rId4" name="Ocultar_Instrucciones"/>
      </mc:Fallback>
    </mc:AlternateContent>
    <mc:AlternateContent xmlns:mc="http://schemas.openxmlformats.org/markup-compatibility/2006">
      <mc:Choice Requires="x14">
        <control shapeId="1026" r:id="rId6" name="Mostrar_Instrucciones">
          <controlPr defaultSize="0" autoLine="0" r:id="rId7">
            <anchor moveWithCells="1">
              <from>
                <xdr:col>5</xdr:col>
                <xdr:colOff>228600</xdr:colOff>
                <xdr:row>4</xdr:row>
                <xdr:rowOff>228600</xdr:rowOff>
              </from>
              <to>
                <xdr:col>6</xdr:col>
                <xdr:colOff>361950</xdr:colOff>
                <xdr:row>5</xdr:row>
                <xdr:rowOff>171450</xdr:rowOff>
              </to>
            </anchor>
          </controlPr>
        </control>
      </mc:Choice>
      <mc:Fallback>
        <control shapeId="1026" r:id="rId6" name="Mostrar_Instrucciones"/>
      </mc:Fallback>
    </mc:AlternateContent>
    <mc:AlternateContent xmlns:mc="http://schemas.openxmlformats.org/markup-compatibility/2006">
      <mc:Choice Requires="x14">
        <control shapeId="1027" r:id="rId8" name="Copiar_Info_General">
          <controlPr defaultSize="0" autoLine="0" r:id="rId9">
            <anchor moveWithCells="1">
              <from>
                <xdr:col>11</xdr:col>
                <xdr:colOff>85725</xdr:colOff>
                <xdr:row>6</xdr:row>
                <xdr:rowOff>9525</xdr:rowOff>
              </from>
              <to>
                <xdr:col>13</xdr:col>
                <xdr:colOff>428625</xdr:colOff>
                <xdr:row>8</xdr:row>
                <xdr:rowOff>133350</xdr:rowOff>
              </to>
            </anchor>
          </controlPr>
        </control>
      </mc:Choice>
      <mc:Fallback>
        <control shapeId="1027" r:id="rId8" name="Copiar_Info_General"/>
      </mc:Fallback>
    </mc:AlternateContent>
    <mc:AlternateContent xmlns:mc="http://schemas.openxmlformats.org/markup-compatibility/2006">
      <mc:Choice Requires="x14">
        <control shapeId="1028" r:id="rId10" name="Copiar_Calificaciones">
          <controlPr defaultSize="0" autoLine="0" r:id="rId11">
            <anchor moveWithCells="1">
              <from>
                <xdr:col>13</xdr:col>
                <xdr:colOff>466725</xdr:colOff>
                <xdr:row>6</xdr:row>
                <xdr:rowOff>9525</xdr:rowOff>
              </from>
              <to>
                <xdr:col>16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1028" r:id="rId10" name="Copiar_Calificaciones"/>
      </mc:Fallback>
    </mc:AlternateContent>
    <mc:AlternateContent xmlns:mc="http://schemas.openxmlformats.org/markup-compatibility/2006">
      <mc:Choice Requires="x14">
        <control shapeId="1029" r:id="rId12" name="Copiar_Analisis">
          <controlPr defaultSize="0" autoLine="0" r:id="rId13">
            <anchor moveWithCells="1">
              <from>
                <xdr:col>16</xdr:col>
                <xdr:colOff>123825</xdr:colOff>
                <xdr:row>6</xdr:row>
                <xdr:rowOff>9525</xdr:rowOff>
              </from>
              <to>
                <xdr:col>18</xdr:col>
                <xdr:colOff>457200</xdr:colOff>
                <xdr:row>8</xdr:row>
                <xdr:rowOff>133350</xdr:rowOff>
              </to>
            </anchor>
          </controlPr>
        </control>
      </mc:Choice>
      <mc:Fallback>
        <control shapeId="1029" r:id="rId12" name="Copiar_Analisi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R986"/>
  <sheetViews>
    <sheetView showGridLines="0" zoomScale="70" zoomScaleNormal="70" workbookViewId="0">
      <pane xSplit="1" ySplit="5" topLeftCell="B8" activePane="bottomRight" state="frozen"/>
      <selection pane="topRight" activeCell="D6" sqref="D6"/>
      <selection pane="bottomLeft" activeCell="D6" sqref="D6"/>
      <selection pane="bottomRight" sqref="A1:E9"/>
    </sheetView>
  </sheetViews>
  <sheetFormatPr baseColWidth="10" defaultColWidth="14.42578125" defaultRowHeight="15" customHeight="1" x14ac:dyDescent="0.25"/>
  <cols>
    <col min="1" max="1" width="43.85546875" style="18" customWidth="1"/>
    <col min="2" max="2" width="27.5703125" style="18" customWidth="1"/>
    <col min="3" max="3" width="32.85546875" style="18" customWidth="1"/>
    <col min="4" max="4" width="28.7109375" style="18" customWidth="1"/>
    <col min="5" max="5" width="32.42578125" style="18" customWidth="1"/>
    <col min="6" max="18" width="15.140625" style="18" customWidth="1"/>
    <col min="19" max="16384" width="14.42578125" style="18"/>
  </cols>
  <sheetData>
    <row r="1" spans="1:18" ht="18" customHeight="1" x14ac:dyDescent="0.25">
      <c r="A1" s="164" t="s">
        <v>76</v>
      </c>
      <c r="B1" s="165"/>
      <c r="C1" s="165"/>
      <c r="D1" s="165"/>
      <c r="E1" s="166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47.25" customHeight="1" x14ac:dyDescent="0.25">
      <c r="A2" s="167"/>
      <c r="B2" s="168"/>
      <c r="C2" s="168"/>
      <c r="D2" s="168"/>
      <c r="E2" s="169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8" customHeight="1" x14ac:dyDescent="0.25">
      <c r="A3" s="170"/>
      <c r="B3" s="171"/>
      <c r="C3" s="171"/>
      <c r="D3" s="171"/>
      <c r="E3" s="172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5" customHeight="1" x14ac:dyDescent="0.25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92.25" customHeight="1" x14ac:dyDescent="0.25">
      <c r="A5" s="20" t="s">
        <v>77</v>
      </c>
      <c r="B5" s="21" t="s">
        <v>78</v>
      </c>
      <c r="C5" s="21" t="s">
        <v>79</v>
      </c>
      <c r="D5" s="21" t="s">
        <v>80</v>
      </c>
      <c r="E5" s="21" t="s">
        <v>81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29" customHeight="1" x14ac:dyDescent="0.25">
      <c r="A6" s="88" t="s">
        <v>82</v>
      </c>
      <c r="B6" s="89" t="s">
        <v>83</v>
      </c>
      <c r="C6" s="96" t="s">
        <v>84</v>
      </c>
      <c r="D6" s="96" t="s">
        <v>85</v>
      </c>
      <c r="E6" s="96" t="s">
        <v>86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61.25" customHeight="1" x14ac:dyDescent="0.25">
      <c r="A7" s="88" t="s">
        <v>87</v>
      </c>
      <c r="B7" s="96" t="s">
        <v>88</v>
      </c>
      <c r="C7" s="96" t="s">
        <v>89</v>
      </c>
      <c r="D7" s="96" t="s">
        <v>90</v>
      </c>
      <c r="E7" s="96" t="s">
        <v>91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1:18" ht="161.25" customHeight="1" x14ac:dyDescent="0.25">
      <c r="A8" s="88" t="s">
        <v>92</v>
      </c>
      <c r="B8" s="96" t="s">
        <v>93</v>
      </c>
      <c r="C8" s="96" t="s">
        <v>94</v>
      </c>
      <c r="D8" s="96" t="s">
        <v>95</v>
      </c>
      <c r="E8" s="96" t="s">
        <v>96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ht="161.25" customHeight="1" x14ac:dyDescent="0.25">
      <c r="A9" s="88" t="s">
        <v>97</v>
      </c>
      <c r="B9" s="96" t="s">
        <v>98</v>
      </c>
      <c r="C9" s="96" t="s">
        <v>99</v>
      </c>
      <c r="D9" s="96" t="s">
        <v>100</v>
      </c>
      <c r="E9" s="96" t="s">
        <v>101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1:18" ht="161.25" customHeight="1" x14ac:dyDescent="0.25">
      <c r="A10" s="22"/>
      <c r="B10" s="23"/>
      <c r="C10" s="23"/>
      <c r="D10" s="23"/>
      <c r="E10" s="23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</row>
    <row r="11" spans="1:18" ht="129" customHeight="1" x14ac:dyDescent="0.25">
      <c r="A11" s="22"/>
      <c r="B11" s="23"/>
      <c r="C11" s="23"/>
      <c r="D11" s="25"/>
      <c r="E11" s="23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</row>
    <row r="12" spans="1:18" x14ac:dyDescent="0.25">
      <c r="A12" s="26"/>
      <c r="B12" s="27"/>
      <c r="C12" s="27"/>
      <c r="D12" s="27"/>
      <c r="E12" s="28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8" ht="15.75" customHeight="1" x14ac:dyDescent="0.25"/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R993"/>
  <sheetViews>
    <sheetView showGridLines="0" zoomScale="70" zoomScaleNormal="70" workbookViewId="0">
      <pane xSplit="1" ySplit="5" topLeftCell="B9" activePane="bottomRight" state="frozen"/>
      <selection pane="topRight" activeCell="A10" sqref="A10"/>
      <selection pane="bottomLeft" activeCell="A10" sqref="A10"/>
      <selection pane="bottomRight" sqref="A1:E9"/>
    </sheetView>
  </sheetViews>
  <sheetFormatPr baseColWidth="10" defaultColWidth="14.42578125" defaultRowHeight="15" customHeight="1" x14ac:dyDescent="0.25"/>
  <cols>
    <col min="1" max="1" width="43.85546875" style="18" customWidth="1"/>
    <col min="2" max="4" width="27.42578125" style="18" customWidth="1"/>
    <col min="5" max="5" width="37.7109375" style="18" customWidth="1"/>
    <col min="6" max="18" width="15.140625" style="18" customWidth="1"/>
    <col min="19" max="16384" width="14.42578125" style="18"/>
  </cols>
  <sheetData>
    <row r="1" spans="1:18" ht="15" customHeight="1" x14ac:dyDescent="0.25">
      <c r="A1" s="164" t="s">
        <v>102</v>
      </c>
      <c r="B1" s="165"/>
      <c r="C1" s="165"/>
      <c r="D1" s="165"/>
      <c r="E1" s="166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43.5" customHeight="1" x14ac:dyDescent="0.25">
      <c r="A2" s="167"/>
      <c r="B2" s="168"/>
      <c r="C2" s="168"/>
      <c r="D2" s="168"/>
      <c r="E2" s="169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8" customHeight="1" x14ac:dyDescent="0.25">
      <c r="A3" s="170"/>
      <c r="B3" s="171"/>
      <c r="C3" s="171"/>
      <c r="D3" s="171"/>
      <c r="E3" s="172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36.75" customHeight="1" x14ac:dyDescent="0.25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71.25" customHeight="1" x14ac:dyDescent="0.25">
      <c r="A5" s="20" t="s">
        <v>103</v>
      </c>
      <c r="B5" s="21" t="s">
        <v>78</v>
      </c>
      <c r="C5" s="97" t="s">
        <v>79</v>
      </c>
      <c r="D5" s="97" t="s">
        <v>80</v>
      </c>
      <c r="E5" s="97" t="s">
        <v>81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87.5" customHeight="1" x14ac:dyDescent="0.25">
      <c r="A6" s="88" t="s">
        <v>104</v>
      </c>
      <c r="B6" s="89" t="s">
        <v>105</v>
      </c>
      <c r="C6" s="96" t="s">
        <v>106</v>
      </c>
      <c r="D6" s="96" t="s">
        <v>107</v>
      </c>
      <c r="E6" s="96" t="s">
        <v>108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87.5" customHeight="1" x14ac:dyDescent="0.25">
      <c r="A7" s="88" t="s">
        <v>109</v>
      </c>
      <c r="B7" s="96" t="s">
        <v>110</v>
      </c>
      <c r="C7" s="96" t="s">
        <v>111</v>
      </c>
      <c r="D7" s="96" t="s">
        <v>112</v>
      </c>
      <c r="E7" s="96" t="s">
        <v>113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8" ht="187.5" customHeight="1" x14ac:dyDescent="0.25">
      <c r="A8" s="88" t="s">
        <v>114</v>
      </c>
      <c r="B8" s="96" t="s">
        <v>115</v>
      </c>
      <c r="C8" s="96" t="s">
        <v>116</v>
      </c>
      <c r="D8" s="96" t="s">
        <v>117</v>
      </c>
      <c r="E8" s="96" t="s">
        <v>118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 ht="187.5" customHeight="1" x14ac:dyDescent="0.25">
      <c r="A9" s="88" t="s">
        <v>119</v>
      </c>
      <c r="B9" s="96" t="s">
        <v>120</v>
      </c>
      <c r="C9" s="96" t="s">
        <v>121</v>
      </c>
      <c r="D9" s="96" t="s">
        <v>122</v>
      </c>
      <c r="E9" s="96" t="s">
        <v>123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 ht="187.5" customHeight="1" x14ac:dyDescent="0.25">
      <c r="A10" s="22"/>
      <c r="B10" s="23"/>
      <c r="C10" s="23"/>
      <c r="D10" s="23"/>
      <c r="E10" s="2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87.5" customHeight="1" x14ac:dyDescent="0.25">
      <c r="A11" s="22"/>
      <c r="B11" s="23"/>
      <c r="C11" s="23"/>
      <c r="D11" s="23"/>
      <c r="E11" s="23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 ht="15" customHeight="1" x14ac:dyDescent="0.25">
      <c r="A12" s="26"/>
      <c r="B12" s="27"/>
      <c r="C12" s="27"/>
      <c r="D12" s="27"/>
      <c r="E12" s="28"/>
    </row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R993"/>
  <sheetViews>
    <sheetView showGridLines="0" zoomScale="80" zoomScaleNormal="80" workbookViewId="0">
      <pane xSplit="1" ySplit="5" topLeftCell="B8" activePane="bottomRight" state="frozen"/>
      <selection pane="topRight" activeCell="D6" sqref="D6"/>
      <selection pane="bottomLeft" activeCell="D6" sqref="D6"/>
      <selection pane="bottomRight" sqref="A1:E8"/>
    </sheetView>
  </sheetViews>
  <sheetFormatPr baseColWidth="10" defaultColWidth="14.42578125" defaultRowHeight="15" customHeight="1" x14ac:dyDescent="0.25"/>
  <cols>
    <col min="1" max="1" width="43.85546875" style="18" customWidth="1"/>
    <col min="2" max="4" width="26.85546875" style="18" customWidth="1"/>
    <col min="5" max="5" width="30.140625" style="18" customWidth="1"/>
    <col min="6" max="18" width="15.140625" style="18" customWidth="1"/>
    <col min="19" max="16384" width="14.42578125" style="18"/>
  </cols>
  <sheetData>
    <row r="1" spans="1:18" ht="15" customHeight="1" x14ac:dyDescent="0.25">
      <c r="A1" s="164" t="s">
        <v>124</v>
      </c>
      <c r="B1" s="165"/>
      <c r="C1" s="165"/>
      <c r="D1" s="165"/>
      <c r="E1" s="166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6" customHeight="1" x14ac:dyDescent="0.25">
      <c r="A2" s="167"/>
      <c r="B2" s="168"/>
      <c r="C2" s="168"/>
      <c r="D2" s="168"/>
      <c r="E2" s="169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 x14ac:dyDescent="0.25">
      <c r="A3" s="170"/>
      <c r="B3" s="171"/>
      <c r="C3" s="171"/>
      <c r="D3" s="171"/>
      <c r="E3" s="172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5" customHeight="1" x14ac:dyDescent="0.25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94.5" customHeight="1" x14ac:dyDescent="0.25">
      <c r="A5" s="20" t="s">
        <v>125</v>
      </c>
      <c r="B5" s="21" t="s">
        <v>78</v>
      </c>
      <c r="C5" s="97" t="s">
        <v>79</v>
      </c>
      <c r="D5" s="97" t="s">
        <v>80</v>
      </c>
      <c r="E5" s="97" t="s">
        <v>81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28.25" customHeight="1" x14ac:dyDescent="0.25">
      <c r="A6" s="88" t="s">
        <v>126</v>
      </c>
      <c r="B6" s="96" t="s">
        <v>127</v>
      </c>
      <c r="C6" s="96" t="s">
        <v>128</v>
      </c>
      <c r="D6" s="96" t="s">
        <v>129</v>
      </c>
      <c r="E6" s="96" t="s">
        <v>130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28.25" customHeight="1" x14ac:dyDescent="0.25">
      <c r="A7" s="88" t="s">
        <v>131</v>
      </c>
      <c r="B7" s="96" t="s">
        <v>132</v>
      </c>
      <c r="C7" s="96" t="s">
        <v>133</v>
      </c>
      <c r="D7" s="96" t="s">
        <v>134</v>
      </c>
      <c r="E7" s="96" t="s">
        <v>135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8" ht="128.25" customHeight="1" x14ac:dyDescent="0.25">
      <c r="A8" s="98" t="s">
        <v>136</v>
      </c>
      <c r="B8" s="99" t="s">
        <v>137</v>
      </c>
      <c r="C8" s="99" t="s">
        <v>138</v>
      </c>
      <c r="D8" s="100" t="s">
        <v>139</v>
      </c>
      <c r="E8" s="99" t="s">
        <v>140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 ht="128.25" customHeight="1" x14ac:dyDescent="0.25">
      <c r="A9" s="91"/>
      <c r="B9" s="90"/>
      <c r="C9" s="90"/>
      <c r="D9" s="90"/>
      <c r="E9" s="90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 ht="128.25" customHeight="1" x14ac:dyDescent="0.25">
      <c r="A10" s="22"/>
      <c r="B10" s="23"/>
      <c r="C10" s="23"/>
      <c r="D10" s="23"/>
      <c r="E10" s="2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28.25" customHeight="1" x14ac:dyDescent="0.25">
      <c r="A11" s="22"/>
      <c r="B11" s="23"/>
      <c r="C11" s="23"/>
      <c r="D11" s="23"/>
      <c r="E11" s="23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 x14ac:dyDescent="0.25">
      <c r="A12" s="26" t="s">
        <v>141</v>
      </c>
      <c r="B12" s="27"/>
      <c r="C12" s="27"/>
      <c r="D12" s="27"/>
      <c r="E12" s="28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8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1:18" ht="15.75" customHeight="1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</row>
    <row r="15" spans="1:18" ht="15.75" customHeight="1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18" ht="15.75" customHeight="1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15.75" customHeight="1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15.75" customHeight="1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15.75" customHeight="1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15.75" customHeight="1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</row>
    <row r="21" spans="1:18" ht="15.75" customHeight="1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</row>
    <row r="22" spans="1:18" ht="15.75" customHeight="1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</row>
    <row r="23" spans="1:18" ht="15.75" customHeight="1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</row>
    <row r="24" spans="1:18" ht="15.75" customHeight="1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</row>
    <row r="25" spans="1:18" ht="15.75" customHeight="1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</row>
    <row r="26" spans="1:18" ht="15.75" customHeight="1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</row>
    <row r="27" spans="1:18" ht="15.75" customHeight="1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</row>
    <row r="28" spans="1:18" ht="15.75" customHeight="1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</row>
    <row r="29" spans="1:18" ht="15.75" customHeight="1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</row>
    <row r="30" spans="1:18" ht="15.75" customHeight="1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</row>
    <row r="31" spans="1:18" ht="15.75" customHeight="1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</row>
    <row r="32" spans="1:18" ht="15.75" customHeight="1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</row>
    <row r="33" spans="1:18" ht="15.75" customHeight="1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</row>
    <row r="34" spans="1:18" ht="15.75" customHeight="1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</row>
    <row r="35" spans="1:18" ht="15.75" customHeight="1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</row>
    <row r="36" spans="1:18" ht="15.75" customHeight="1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</row>
    <row r="37" spans="1:18" ht="15.75" customHeight="1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</row>
    <row r="38" spans="1:18" ht="15.75" customHeight="1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</row>
    <row r="39" spans="1:18" ht="15.75" customHeight="1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</row>
    <row r="40" spans="1:18" ht="15.75" customHeight="1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</row>
    <row r="41" spans="1:18" ht="15.75" customHeight="1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</row>
    <row r="42" spans="1:18" ht="15.75" customHeight="1" x14ac:dyDescent="0.2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</row>
    <row r="43" spans="1:18" ht="15.75" customHeight="1" x14ac:dyDescent="0.2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</row>
    <row r="44" spans="1:18" ht="15.75" customHeight="1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</row>
    <row r="45" spans="1:18" ht="15.75" customHeight="1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</row>
    <row r="46" spans="1:18" ht="15.75" customHeight="1" x14ac:dyDescent="0.2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spans="1:18" ht="15.75" customHeight="1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</row>
    <row r="48" spans="1:18" ht="15.75" customHeight="1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</row>
    <row r="49" spans="1:18" ht="15.75" customHeight="1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</row>
    <row r="50" spans="1:18" ht="15.75" customHeight="1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</row>
    <row r="51" spans="1:18" ht="15.75" customHeight="1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</row>
    <row r="52" spans="1:18" ht="15.75" customHeight="1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</row>
    <row r="53" spans="1:18" ht="15.75" customHeight="1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</row>
    <row r="54" spans="1:18" ht="15.75" customHeight="1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</row>
    <row r="55" spans="1:18" ht="15.75" customHeight="1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</row>
    <row r="56" spans="1:18" ht="15.75" customHeight="1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</row>
    <row r="57" spans="1:18" ht="15.75" customHeight="1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</row>
    <row r="58" spans="1:18" ht="15.75" customHeight="1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</row>
    <row r="59" spans="1:18" ht="15.75" customHeight="1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</row>
    <row r="60" spans="1:18" ht="15.75" customHeight="1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</row>
    <row r="61" spans="1:18" ht="15.75" customHeight="1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</row>
    <row r="62" spans="1:18" ht="15.75" customHeight="1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</row>
    <row r="63" spans="1:18" ht="15.75" customHeight="1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</row>
    <row r="64" spans="1:18" ht="15.75" customHeight="1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</row>
    <row r="65" spans="1:18" ht="15.75" customHeight="1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</row>
    <row r="66" spans="1:18" ht="15.75" customHeight="1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</row>
    <row r="67" spans="1:18" ht="15.75" customHeight="1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</row>
    <row r="68" spans="1:18" ht="15.75" customHeight="1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</row>
    <row r="69" spans="1:18" ht="15.75" customHeight="1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</row>
    <row r="70" spans="1:18" ht="15.75" customHeight="1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</row>
    <row r="71" spans="1:18" ht="15.75" customHeight="1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</row>
    <row r="72" spans="1:18" ht="15.75" customHeight="1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</row>
    <row r="73" spans="1:18" ht="15.75" customHeight="1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</row>
    <row r="74" spans="1:18" ht="15.75" customHeight="1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</row>
    <row r="75" spans="1:18" ht="15.75" customHeight="1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</row>
    <row r="76" spans="1:18" ht="15.75" customHeight="1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</row>
    <row r="77" spans="1:18" ht="15.75" customHeight="1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</row>
    <row r="78" spans="1:18" ht="15.75" customHeight="1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</row>
    <row r="79" spans="1:18" ht="15.75" customHeight="1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</row>
    <row r="80" spans="1:18" ht="15.75" customHeight="1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ht="15.75" customHeight="1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ht="15.75" customHeight="1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</row>
    <row r="83" spans="1:18" ht="15.75" customHeight="1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ht="15.75" customHeight="1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ht="15.75" customHeight="1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</row>
    <row r="86" spans="1:18" ht="15.75" customHeight="1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ht="15.75" customHeight="1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ht="15.75" customHeight="1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</row>
    <row r="89" spans="1:18" ht="15.75" customHeight="1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ht="15.75" customHeight="1" x14ac:dyDescent="0.2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ht="15.75" customHeight="1" x14ac:dyDescent="0.2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</row>
    <row r="92" spans="1:18" ht="15.75" customHeight="1" x14ac:dyDescent="0.2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</row>
    <row r="93" spans="1:18" ht="15.75" customHeight="1" x14ac:dyDescent="0.2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ht="15.75" customHeight="1" x14ac:dyDescent="0.2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ht="15.75" customHeight="1" x14ac:dyDescent="0.2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</row>
    <row r="96" spans="1:18" ht="15.75" customHeight="1" x14ac:dyDescent="0.2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ht="15.75" customHeight="1" x14ac:dyDescent="0.2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ht="15.75" customHeight="1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</row>
    <row r="99" spans="1:18" ht="15.75" customHeight="1" x14ac:dyDescent="0.2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ht="15.75" customHeight="1" x14ac:dyDescent="0.2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ht="15.75" customHeight="1" x14ac:dyDescent="0.2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</row>
    <row r="102" spans="1:18" ht="15.75" customHeight="1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</row>
    <row r="103" spans="1:18" ht="15.75" customHeight="1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</row>
    <row r="104" spans="1:18" ht="15.75" customHeight="1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</row>
    <row r="105" spans="1:18" ht="15.75" customHeight="1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</row>
    <row r="106" spans="1:18" ht="15.75" customHeight="1" x14ac:dyDescent="0.2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</row>
    <row r="107" spans="1:18" ht="15.75" customHeight="1" x14ac:dyDescent="0.2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</row>
    <row r="108" spans="1:18" ht="15.75" customHeight="1" x14ac:dyDescent="0.2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</row>
    <row r="109" spans="1:18" ht="15.75" customHeight="1" x14ac:dyDescent="0.2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</row>
    <row r="110" spans="1:18" ht="15.75" customHeight="1" x14ac:dyDescent="0.2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</row>
    <row r="111" spans="1:18" ht="15.75" customHeight="1" x14ac:dyDescent="0.2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</row>
    <row r="112" spans="1:18" ht="15.75" customHeight="1" x14ac:dyDescent="0.2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</row>
    <row r="113" spans="1:18" ht="15.75" customHeight="1" x14ac:dyDescent="0.2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</row>
    <row r="114" spans="1:18" ht="15.75" customHeight="1" x14ac:dyDescent="0.2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</row>
    <row r="115" spans="1:18" ht="15.75" customHeight="1" x14ac:dyDescent="0.2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</row>
    <row r="116" spans="1:18" ht="15.75" customHeight="1" x14ac:dyDescent="0.2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</row>
    <row r="117" spans="1:18" ht="15.75" customHeight="1" x14ac:dyDescent="0.2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</row>
    <row r="118" spans="1:18" ht="15.75" customHeight="1" x14ac:dyDescent="0.2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</row>
    <row r="119" spans="1:18" ht="15.75" customHeight="1" x14ac:dyDescent="0.2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</row>
    <row r="120" spans="1:18" ht="15.75" customHeight="1" x14ac:dyDescent="0.2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</row>
    <row r="121" spans="1:18" ht="15.75" customHeight="1" x14ac:dyDescent="0.2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</row>
    <row r="122" spans="1:18" ht="15.75" customHeight="1" x14ac:dyDescent="0.2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</row>
    <row r="123" spans="1:18" ht="15.75" customHeight="1" x14ac:dyDescent="0.2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</row>
    <row r="124" spans="1:18" ht="15.75" customHeight="1" x14ac:dyDescent="0.2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</row>
    <row r="125" spans="1:18" ht="15.75" customHeight="1" x14ac:dyDescent="0.2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</row>
    <row r="126" spans="1:18" ht="15.75" customHeight="1" x14ac:dyDescent="0.2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</row>
    <row r="127" spans="1:18" ht="15.75" customHeight="1" x14ac:dyDescent="0.2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</row>
    <row r="128" spans="1:18" ht="15.75" customHeight="1" x14ac:dyDescent="0.2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</row>
    <row r="129" spans="1:18" ht="15.75" customHeight="1" x14ac:dyDescent="0.2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</row>
    <row r="130" spans="1:18" ht="15.75" customHeight="1" x14ac:dyDescent="0.2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</row>
    <row r="131" spans="1:18" ht="15.75" customHeight="1" x14ac:dyDescent="0.2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</row>
    <row r="132" spans="1:18" ht="15.75" customHeight="1" x14ac:dyDescent="0.2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</row>
    <row r="133" spans="1:18" ht="15.75" customHeight="1" x14ac:dyDescent="0.2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</row>
    <row r="134" spans="1:18" ht="15.75" customHeight="1" x14ac:dyDescent="0.2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</row>
    <row r="135" spans="1:18" ht="15.75" customHeight="1" x14ac:dyDescent="0.2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</row>
    <row r="136" spans="1:18" ht="15.75" customHeight="1" x14ac:dyDescent="0.2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</row>
    <row r="137" spans="1:18" ht="15.75" customHeight="1" x14ac:dyDescent="0.2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</row>
    <row r="138" spans="1:18" ht="15.75" customHeight="1" x14ac:dyDescent="0.2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</row>
    <row r="139" spans="1:18" ht="15.75" customHeight="1" x14ac:dyDescent="0.2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</row>
    <row r="140" spans="1:18" ht="15.75" customHeight="1" x14ac:dyDescent="0.2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</row>
    <row r="141" spans="1:18" ht="15.75" customHeight="1" x14ac:dyDescent="0.2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</row>
    <row r="142" spans="1:18" ht="15.75" customHeight="1" x14ac:dyDescent="0.2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</row>
    <row r="143" spans="1:18" ht="15.75" customHeight="1" x14ac:dyDescent="0.2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</row>
    <row r="144" spans="1:18" ht="15.75" customHeight="1" x14ac:dyDescent="0.2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</row>
    <row r="145" spans="1:18" ht="15.75" customHeight="1" x14ac:dyDescent="0.2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</row>
    <row r="146" spans="1:18" ht="15.75" customHeight="1" x14ac:dyDescent="0.2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</row>
    <row r="147" spans="1:18" ht="15.75" customHeight="1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</row>
    <row r="148" spans="1:18" ht="15.75" customHeight="1" x14ac:dyDescent="0.2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</row>
    <row r="149" spans="1:18" ht="15.75" customHeight="1" x14ac:dyDescent="0.2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</row>
    <row r="150" spans="1:18" ht="15.75" customHeight="1" x14ac:dyDescent="0.2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</row>
    <row r="151" spans="1:18" ht="15.75" customHeight="1" x14ac:dyDescent="0.2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</row>
    <row r="152" spans="1:18" ht="15.75" customHeight="1" x14ac:dyDescent="0.2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</row>
    <row r="153" spans="1:18" ht="15.75" customHeight="1" x14ac:dyDescent="0.2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</row>
    <row r="154" spans="1:18" ht="15.75" customHeight="1" x14ac:dyDescent="0.2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</row>
    <row r="155" spans="1:18" ht="15.75" customHeight="1" x14ac:dyDescent="0.2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</row>
    <row r="156" spans="1:18" ht="15.75" customHeight="1" x14ac:dyDescent="0.2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</row>
    <row r="157" spans="1:18" ht="15.75" customHeight="1" x14ac:dyDescent="0.2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</row>
    <row r="158" spans="1:18" ht="15.75" customHeight="1" x14ac:dyDescent="0.2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</row>
    <row r="159" spans="1:18" ht="15.75" customHeight="1" x14ac:dyDescent="0.2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</row>
    <row r="160" spans="1:18" ht="15.75" customHeight="1" x14ac:dyDescent="0.2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</row>
    <row r="161" spans="1:18" ht="15.75" customHeight="1" x14ac:dyDescent="0.2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</row>
    <row r="162" spans="1:18" ht="15.75" customHeight="1" x14ac:dyDescent="0.2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</row>
    <row r="163" spans="1:18" ht="15.75" customHeight="1" x14ac:dyDescent="0.2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</row>
    <row r="164" spans="1:18" ht="15.75" customHeight="1" x14ac:dyDescent="0.2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</row>
    <row r="165" spans="1:18" ht="15.75" customHeight="1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</row>
    <row r="166" spans="1:18" ht="15.75" customHeight="1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</row>
    <row r="167" spans="1:18" ht="15.75" customHeight="1" x14ac:dyDescent="0.2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</row>
    <row r="168" spans="1:18" ht="15.75" customHeight="1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</row>
    <row r="169" spans="1:18" ht="15.75" customHeight="1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</row>
    <row r="170" spans="1:18" ht="15.75" customHeight="1" x14ac:dyDescent="0.2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</row>
    <row r="171" spans="1:18" ht="15.75" customHeight="1" x14ac:dyDescent="0.2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</row>
    <row r="172" spans="1:18" ht="15.75" customHeight="1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</row>
    <row r="173" spans="1:18" ht="15.75" customHeight="1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</row>
    <row r="174" spans="1:18" ht="15.75" customHeight="1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</row>
    <row r="175" spans="1:18" ht="15.75" customHeight="1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</row>
    <row r="176" spans="1:18" ht="15.75" customHeight="1" x14ac:dyDescent="0.2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</row>
    <row r="177" spans="1:18" ht="15.75" customHeight="1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</row>
    <row r="178" spans="1:18" ht="15.75" customHeight="1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</row>
    <row r="179" spans="1:18" ht="15.75" customHeight="1" x14ac:dyDescent="0.2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</row>
    <row r="180" spans="1:18" ht="15.75" customHeight="1" x14ac:dyDescent="0.2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</row>
    <row r="181" spans="1:18" ht="15.75" customHeight="1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</row>
    <row r="182" spans="1:18" ht="15.75" customHeight="1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</row>
    <row r="183" spans="1:18" ht="15.75" customHeight="1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</row>
    <row r="184" spans="1:18" ht="15.75" customHeight="1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</row>
    <row r="185" spans="1:18" ht="15.75" customHeight="1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</row>
    <row r="186" spans="1:18" ht="15.75" customHeight="1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</row>
    <row r="187" spans="1:18" ht="15.75" customHeight="1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</row>
    <row r="188" spans="1:18" ht="15.75" customHeight="1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</row>
    <row r="189" spans="1:18" ht="15.75" customHeight="1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</row>
    <row r="190" spans="1:18" ht="15.75" customHeight="1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</row>
    <row r="191" spans="1:18" ht="15.75" customHeight="1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</row>
    <row r="192" spans="1:18" ht="15.75" customHeight="1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</row>
    <row r="193" spans="1:18" ht="15.75" customHeight="1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</row>
    <row r="194" spans="1:18" ht="15.75" customHeight="1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</row>
    <row r="195" spans="1:18" ht="15.75" customHeight="1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</row>
    <row r="196" spans="1:18" ht="15.75" customHeight="1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</row>
    <row r="197" spans="1:18" ht="15.75" customHeight="1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</row>
    <row r="198" spans="1:18" ht="15.75" customHeight="1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</row>
    <row r="199" spans="1:18" ht="15.75" customHeight="1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</row>
    <row r="200" spans="1:18" ht="15.75" customHeight="1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</row>
    <row r="201" spans="1:18" ht="15.75" customHeight="1" x14ac:dyDescent="0.2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</row>
    <row r="202" spans="1:18" ht="15.75" customHeight="1" x14ac:dyDescent="0.2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</row>
    <row r="203" spans="1:18" ht="15.75" customHeight="1" x14ac:dyDescent="0.2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</row>
    <row r="204" spans="1:18" ht="15.75" customHeight="1" x14ac:dyDescent="0.2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</row>
    <row r="205" spans="1:18" ht="15.75" customHeight="1" x14ac:dyDescent="0.2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</row>
    <row r="206" spans="1:18" ht="15.75" customHeight="1" x14ac:dyDescent="0.2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</row>
    <row r="207" spans="1:18" ht="15.75" customHeight="1" x14ac:dyDescent="0.2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</row>
    <row r="208" spans="1:18" ht="15.75" customHeight="1" x14ac:dyDescent="0.2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</row>
    <row r="209" spans="1:18" ht="15.75" customHeight="1" x14ac:dyDescent="0.2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</row>
    <row r="210" spans="1:18" ht="15.75" customHeight="1" x14ac:dyDescent="0.2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</row>
    <row r="211" spans="1:18" ht="15.75" customHeight="1" x14ac:dyDescent="0.2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</row>
    <row r="212" spans="1:18" ht="15.75" customHeight="1" x14ac:dyDescent="0.2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</row>
    <row r="213" spans="1:18" ht="15.75" customHeight="1" x14ac:dyDescent="0.2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</row>
    <row r="214" spans="1:18" ht="15.75" customHeight="1" x14ac:dyDescent="0.25"/>
    <row r="215" spans="1:18" ht="15.75" customHeight="1" x14ac:dyDescent="0.25"/>
    <row r="216" spans="1:18" ht="15.75" customHeight="1" x14ac:dyDescent="0.25"/>
    <row r="217" spans="1:18" ht="15.75" customHeight="1" x14ac:dyDescent="0.25"/>
    <row r="218" spans="1:18" ht="15.75" customHeight="1" x14ac:dyDescent="0.25"/>
    <row r="219" spans="1:18" ht="15.75" customHeight="1" x14ac:dyDescent="0.25"/>
    <row r="220" spans="1:18" ht="15.75" customHeight="1" x14ac:dyDescent="0.25"/>
    <row r="221" spans="1:18" ht="15.75" customHeight="1" x14ac:dyDescent="0.25"/>
    <row r="222" spans="1:18" ht="15.75" customHeight="1" x14ac:dyDescent="0.25"/>
    <row r="223" spans="1:18" ht="15.75" customHeight="1" x14ac:dyDescent="0.25"/>
    <row r="224" spans="1:18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A1:R993"/>
  <sheetViews>
    <sheetView showGridLines="0" zoomScale="70" zoomScaleNormal="70" workbookViewId="0">
      <pane xSplit="1" ySplit="5" topLeftCell="B9" activePane="bottomRight" state="frozen"/>
      <selection pane="topRight" activeCell="D6" sqref="D6"/>
      <selection pane="bottomLeft" activeCell="D6" sqref="D6"/>
      <selection pane="bottomRight" sqref="A1:E9"/>
    </sheetView>
  </sheetViews>
  <sheetFormatPr baseColWidth="10" defaultColWidth="14.42578125" defaultRowHeight="15" customHeight="1" x14ac:dyDescent="0.25"/>
  <cols>
    <col min="1" max="1" width="43.85546875" style="18" customWidth="1"/>
    <col min="2" max="5" width="26.85546875" style="18" customWidth="1"/>
    <col min="6" max="18" width="15.140625" style="18" customWidth="1"/>
    <col min="19" max="16384" width="14.42578125" style="18"/>
  </cols>
  <sheetData>
    <row r="1" spans="1:18" ht="15" customHeight="1" x14ac:dyDescent="0.25">
      <c r="A1" s="164" t="s">
        <v>142</v>
      </c>
      <c r="B1" s="165"/>
      <c r="C1" s="165"/>
      <c r="D1" s="165"/>
      <c r="E1" s="166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6.75" customHeight="1" x14ac:dyDescent="0.25">
      <c r="A2" s="167"/>
      <c r="B2" s="168"/>
      <c r="C2" s="168"/>
      <c r="D2" s="168"/>
      <c r="E2" s="169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 x14ac:dyDescent="0.25">
      <c r="A3" s="170"/>
      <c r="B3" s="171"/>
      <c r="C3" s="171"/>
      <c r="D3" s="171"/>
      <c r="E3" s="172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5" customHeight="1" x14ac:dyDescent="0.25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75.75" customHeight="1" x14ac:dyDescent="0.25">
      <c r="A5" s="20" t="s">
        <v>143</v>
      </c>
      <c r="B5" s="21" t="s">
        <v>78</v>
      </c>
      <c r="C5" s="97" t="s">
        <v>79</v>
      </c>
      <c r="D5" s="97" t="s">
        <v>80</v>
      </c>
      <c r="E5" s="97" t="s">
        <v>81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s="30" customFormat="1" ht="197.25" customHeight="1" x14ac:dyDescent="0.25">
      <c r="A6" s="101" t="s">
        <v>144</v>
      </c>
      <c r="B6" s="102" t="s">
        <v>145</v>
      </c>
      <c r="C6" s="102" t="s">
        <v>146</v>
      </c>
      <c r="D6" s="102" t="s">
        <v>147</v>
      </c>
      <c r="E6" s="102" t="s">
        <v>148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30" customFormat="1" ht="197.25" customHeight="1" x14ac:dyDescent="0.25">
      <c r="A7" s="101" t="s">
        <v>149</v>
      </c>
      <c r="B7" s="102" t="s">
        <v>150</v>
      </c>
      <c r="C7" s="102" t="s">
        <v>151</v>
      </c>
      <c r="D7" s="102" t="s">
        <v>152</v>
      </c>
      <c r="E7" s="102" t="s">
        <v>153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30" customFormat="1" ht="197.25" customHeight="1" x14ac:dyDescent="0.25">
      <c r="A8" s="101" t="s">
        <v>154</v>
      </c>
      <c r="B8" s="102" t="s">
        <v>155</v>
      </c>
      <c r="C8" s="102" t="s">
        <v>156</v>
      </c>
      <c r="D8" s="102" t="s">
        <v>157</v>
      </c>
      <c r="E8" s="102" t="s">
        <v>158</v>
      </c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30" customFormat="1" ht="197.25" customHeight="1" x14ac:dyDescent="0.25">
      <c r="A9" s="101" t="s">
        <v>159</v>
      </c>
      <c r="B9" s="102" t="s">
        <v>160</v>
      </c>
      <c r="C9" s="102" t="s">
        <v>161</v>
      </c>
      <c r="D9" s="102" t="s">
        <v>162</v>
      </c>
      <c r="E9" s="102" t="s">
        <v>163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30" customFormat="1" ht="197.25" customHeight="1" x14ac:dyDescent="0.25">
      <c r="A10" s="22"/>
      <c r="B10" s="23"/>
      <c r="C10" s="23"/>
      <c r="D10" s="23"/>
      <c r="E10" s="23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30" customFormat="1" ht="197.25" customHeight="1" x14ac:dyDescent="0.25">
      <c r="A11" s="22"/>
      <c r="B11" s="23"/>
      <c r="C11" s="23"/>
      <c r="D11" s="23"/>
      <c r="E11" s="23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ht="15" customHeight="1" x14ac:dyDescent="0.25">
      <c r="A12" s="26" t="s">
        <v>141</v>
      </c>
      <c r="B12" s="27"/>
      <c r="C12" s="27"/>
      <c r="D12" s="27"/>
      <c r="E12" s="28"/>
    </row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A1:R993"/>
  <sheetViews>
    <sheetView showGridLines="0" zoomScale="70" zoomScaleNormal="70" workbookViewId="0">
      <pane xSplit="1" ySplit="5" topLeftCell="B7" activePane="bottomRight" state="frozen"/>
      <selection pane="topRight" activeCell="D6" sqref="D6"/>
      <selection pane="bottomLeft" activeCell="D6" sqref="D6"/>
      <selection pane="bottomRight" sqref="A1:E8"/>
    </sheetView>
  </sheetViews>
  <sheetFormatPr baseColWidth="10" defaultColWidth="14.42578125" defaultRowHeight="15" customHeight="1" x14ac:dyDescent="0.25"/>
  <cols>
    <col min="1" max="1" width="43.85546875" style="18" customWidth="1"/>
    <col min="2" max="4" width="26.85546875" style="18" customWidth="1"/>
    <col min="5" max="5" width="33.85546875" style="18" customWidth="1"/>
    <col min="6" max="18" width="15.140625" style="18" customWidth="1"/>
    <col min="19" max="16384" width="14.42578125" style="18"/>
  </cols>
  <sheetData>
    <row r="1" spans="1:18" ht="15" customHeight="1" x14ac:dyDescent="0.25">
      <c r="A1" s="164" t="s">
        <v>164</v>
      </c>
      <c r="B1" s="165"/>
      <c r="C1" s="165"/>
      <c r="D1" s="165"/>
      <c r="E1" s="166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5.25" customHeight="1" x14ac:dyDescent="0.25">
      <c r="A2" s="167"/>
      <c r="B2" s="168"/>
      <c r="C2" s="168"/>
      <c r="D2" s="168"/>
      <c r="E2" s="169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 x14ac:dyDescent="0.25">
      <c r="A3" s="170"/>
      <c r="B3" s="171"/>
      <c r="C3" s="171"/>
      <c r="D3" s="171"/>
      <c r="E3" s="172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34.5" customHeight="1" x14ac:dyDescent="0.25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84.75" customHeight="1" x14ac:dyDescent="0.25">
      <c r="A5" s="20" t="s">
        <v>165</v>
      </c>
      <c r="B5" s="21" t="s">
        <v>78</v>
      </c>
      <c r="C5" s="97" t="s">
        <v>79</v>
      </c>
      <c r="D5" s="97" t="s">
        <v>80</v>
      </c>
      <c r="E5" s="97" t="s">
        <v>81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26.75" customHeight="1" x14ac:dyDescent="0.25">
      <c r="A6" s="91" t="s">
        <v>166</v>
      </c>
      <c r="B6" s="90" t="s">
        <v>167</v>
      </c>
      <c r="C6" s="90" t="s">
        <v>168</v>
      </c>
      <c r="D6" s="90" t="s">
        <v>169</v>
      </c>
      <c r="E6" s="90" t="s">
        <v>170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26.75" customHeight="1" x14ac:dyDescent="0.25">
      <c r="A7" s="91" t="s">
        <v>171</v>
      </c>
      <c r="B7" s="90" t="s">
        <v>172</v>
      </c>
      <c r="C7" s="90" t="s">
        <v>173</v>
      </c>
      <c r="D7" s="90" t="s">
        <v>174</v>
      </c>
      <c r="E7" s="90" t="s">
        <v>175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8" ht="126.75" customHeight="1" x14ac:dyDescent="0.25">
      <c r="A8" s="91" t="s">
        <v>154</v>
      </c>
      <c r="B8" s="90" t="s">
        <v>176</v>
      </c>
      <c r="C8" s="90" t="s">
        <v>177</v>
      </c>
      <c r="D8" s="90" t="s">
        <v>157</v>
      </c>
      <c r="E8" s="90" t="s">
        <v>158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 ht="126.75" customHeight="1" x14ac:dyDescent="0.25">
      <c r="A9" s="22"/>
      <c r="B9" s="23"/>
      <c r="C9" s="23"/>
      <c r="D9" s="23"/>
      <c r="E9" s="23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 ht="126.75" customHeight="1" x14ac:dyDescent="0.25">
      <c r="A10" s="22"/>
      <c r="B10" s="23"/>
      <c r="C10" s="23"/>
      <c r="D10" s="23"/>
      <c r="E10" s="2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26.75" customHeight="1" x14ac:dyDescent="0.25">
      <c r="A11" s="22"/>
      <c r="B11" s="23"/>
      <c r="C11" s="23"/>
      <c r="D11" s="23"/>
      <c r="E11" s="23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 x14ac:dyDescent="0.25">
      <c r="A12" s="26" t="s">
        <v>141</v>
      </c>
      <c r="B12" s="27"/>
      <c r="C12" s="27"/>
      <c r="D12" s="27"/>
      <c r="E12" s="28"/>
    </row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A1:R993"/>
  <sheetViews>
    <sheetView showGridLines="0" zoomScale="80" zoomScaleNormal="80" workbookViewId="0">
      <pane xSplit="1" ySplit="5" topLeftCell="B6" activePane="bottomRight" state="frozen"/>
      <selection pane="topRight" activeCell="D6" sqref="D6"/>
      <selection pane="bottomLeft" activeCell="D6" sqref="D6"/>
      <selection pane="bottomRight" activeCell="E7" sqref="E7"/>
    </sheetView>
  </sheetViews>
  <sheetFormatPr baseColWidth="10" defaultColWidth="14.42578125" defaultRowHeight="15" customHeight="1" x14ac:dyDescent="0.25"/>
  <cols>
    <col min="1" max="1" width="43.85546875" style="18" customWidth="1"/>
    <col min="2" max="5" width="26.85546875" style="18" customWidth="1"/>
    <col min="6" max="18" width="15.140625" style="18" customWidth="1"/>
    <col min="19" max="16384" width="14.42578125" style="18"/>
  </cols>
  <sheetData>
    <row r="1" spans="1:18" ht="15" customHeight="1" x14ac:dyDescent="0.25">
      <c r="A1" s="164"/>
      <c r="B1" s="165"/>
      <c r="C1" s="165"/>
      <c r="D1" s="165"/>
      <c r="E1" s="166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7.5" customHeight="1" x14ac:dyDescent="0.25">
      <c r="A2" s="167"/>
      <c r="B2" s="168"/>
      <c r="C2" s="168"/>
      <c r="D2" s="168"/>
      <c r="E2" s="169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21.75" customHeight="1" x14ac:dyDescent="0.25">
      <c r="A3" s="170"/>
      <c r="B3" s="171"/>
      <c r="C3" s="171"/>
      <c r="D3" s="171"/>
      <c r="E3" s="172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33.75" customHeight="1" x14ac:dyDescent="0.25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100.5" customHeight="1" x14ac:dyDescent="0.25">
      <c r="A5" s="20" t="s">
        <v>178</v>
      </c>
      <c r="B5" s="21" t="s">
        <v>78</v>
      </c>
      <c r="C5" s="21" t="s">
        <v>79</v>
      </c>
      <c r="D5" s="21" t="s">
        <v>80</v>
      </c>
      <c r="E5" s="21" t="s">
        <v>81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s="30" customFormat="1" ht="133.5" customHeight="1" x14ac:dyDescent="0.25">
      <c r="A6" s="22"/>
      <c r="B6" s="23"/>
      <c r="C6" s="23"/>
      <c r="D6" s="23"/>
      <c r="E6" s="23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30" customFormat="1" ht="133.5" customHeight="1" x14ac:dyDescent="0.25">
      <c r="A7" s="22"/>
      <c r="B7" s="23"/>
      <c r="C7" s="23"/>
      <c r="D7" s="23"/>
      <c r="E7" s="23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30" customFormat="1" ht="133.5" customHeight="1" x14ac:dyDescent="0.25">
      <c r="A8" s="22"/>
      <c r="B8" s="23"/>
      <c r="C8" s="23"/>
      <c r="D8" s="23"/>
      <c r="E8" s="23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30" customFormat="1" ht="133.5" customHeight="1" x14ac:dyDescent="0.25">
      <c r="A9" s="22"/>
      <c r="B9" s="23"/>
      <c r="C9" s="23"/>
      <c r="D9" s="23"/>
      <c r="E9" s="23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30" customFormat="1" ht="133.5" customHeight="1" x14ac:dyDescent="0.25">
      <c r="A10" s="22"/>
      <c r="B10" s="23"/>
      <c r="C10" s="23"/>
      <c r="D10" s="23"/>
      <c r="E10" s="23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30" customFormat="1" ht="133.5" customHeight="1" x14ac:dyDescent="0.25">
      <c r="A11" s="22"/>
      <c r="B11" s="23"/>
      <c r="C11" s="23"/>
      <c r="D11" s="23"/>
      <c r="E11" s="23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ht="15" customHeight="1" x14ac:dyDescent="0.25">
      <c r="A12" s="26" t="s">
        <v>141</v>
      </c>
      <c r="B12" s="27"/>
      <c r="C12" s="27"/>
      <c r="D12" s="27"/>
      <c r="E12" s="28"/>
    </row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A1:R992"/>
  <sheetViews>
    <sheetView zoomScale="80" zoomScaleNormal="80" workbookViewId="0">
      <pane xSplit="1" ySplit="5" topLeftCell="B6" activePane="bottomRight" state="frozen"/>
      <selection pane="topRight" activeCell="D6" sqref="D6"/>
      <selection pane="bottomLeft" activeCell="D6" sqref="D6"/>
      <selection pane="bottomRight" activeCell="A5" sqref="A5"/>
    </sheetView>
  </sheetViews>
  <sheetFormatPr baseColWidth="10" defaultColWidth="14.42578125" defaultRowHeight="15" customHeight="1" x14ac:dyDescent="0.25"/>
  <cols>
    <col min="1" max="1" width="43.85546875" style="18" customWidth="1"/>
    <col min="2" max="4" width="26.85546875" style="18" customWidth="1"/>
    <col min="5" max="5" width="27" style="18" customWidth="1"/>
    <col min="6" max="18" width="15.140625" style="18" customWidth="1"/>
    <col min="19" max="16384" width="14.42578125" style="18"/>
  </cols>
  <sheetData>
    <row r="1" spans="1:18" ht="15" customHeight="1" x14ac:dyDescent="0.25">
      <c r="A1" s="164"/>
      <c r="B1" s="165"/>
      <c r="C1" s="165"/>
      <c r="D1" s="165"/>
      <c r="E1" s="166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15" customHeight="1" x14ac:dyDescent="0.25">
      <c r="A2" s="167"/>
      <c r="B2" s="168"/>
      <c r="C2" s="168"/>
      <c r="D2" s="168"/>
      <c r="E2" s="169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 x14ac:dyDescent="0.25">
      <c r="A3" s="170"/>
      <c r="B3" s="171"/>
      <c r="C3" s="171"/>
      <c r="D3" s="171"/>
      <c r="E3" s="172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8.75" customHeight="1" x14ac:dyDescent="0.25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97.5" customHeight="1" x14ac:dyDescent="0.25">
      <c r="A5" s="20" t="s">
        <v>179</v>
      </c>
      <c r="B5" s="21" t="s">
        <v>78</v>
      </c>
      <c r="C5" s="21" t="s">
        <v>79</v>
      </c>
      <c r="D5" s="21" t="s">
        <v>80</v>
      </c>
      <c r="E5" s="21" t="s">
        <v>81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s="30" customFormat="1" ht="142.5" customHeight="1" x14ac:dyDescent="0.25">
      <c r="A6" s="22"/>
      <c r="B6" s="23"/>
      <c r="C6" s="23"/>
      <c r="D6" s="23"/>
      <c r="E6" s="23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30" customFormat="1" ht="142.5" customHeight="1" x14ac:dyDescent="0.25">
      <c r="A7" s="22"/>
      <c r="B7" s="23"/>
      <c r="C7" s="23"/>
      <c r="D7" s="23"/>
      <c r="E7" s="23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30" customFormat="1" ht="142.5" customHeight="1" x14ac:dyDescent="0.25">
      <c r="A8" s="22"/>
      <c r="B8" s="23"/>
      <c r="C8" s="23"/>
      <c r="D8" s="23"/>
      <c r="E8" s="23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30" customFormat="1" ht="142.5" customHeight="1" x14ac:dyDescent="0.25">
      <c r="A9" s="22"/>
      <c r="B9" s="23"/>
      <c r="C9" s="23"/>
      <c r="D9" s="23"/>
      <c r="E9" s="23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30" customFormat="1" ht="142.5" customHeight="1" x14ac:dyDescent="0.25">
      <c r="A10" s="22"/>
      <c r="B10" s="23"/>
      <c r="C10" s="23"/>
      <c r="D10" s="23"/>
      <c r="E10" s="23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30" customFormat="1" ht="142.5" customHeight="1" x14ac:dyDescent="0.25">
      <c r="A11" s="22"/>
      <c r="B11" s="23"/>
      <c r="C11" s="23"/>
      <c r="D11" s="23"/>
      <c r="E11" s="23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ht="15" customHeight="1" x14ac:dyDescent="0.25">
      <c r="A12" s="26" t="s">
        <v>141</v>
      </c>
      <c r="B12" s="27"/>
      <c r="C12" s="27"/>
      <c r="D12" s="27"/>
      <c r="E12" s="28"/>
    </row>
    <row r="13" spans="1:18" ht="15.75" customHeight="1" x14ac:dyDescent="0.25"/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E5"/>
  <sheetViews>
    <sheetView showGridLines="0" zoomScale="90" zoomScaleNormal="90" workbookViewId="0">
      <selection activeCell="E4" sqref="E4"/>
    </sheetView>
  </sheetViews>
  <sheetFormatPr baseColWidth="10" defaultColWidth="11.42578125" defaultRowHeight="15" x14ac:dyDescent="0.25"/>
  <cols>
    <col min="2" max="2" width="8.28515625" customWidth="1"/>
    <col min="3" max="3" width="9.85546875" customWidth="1"/>
    <col min="4" max="4" width="10.42578125" customWidth="1"/>
    <col min="5" max="5" width="43.5703125" customWidth="1"/>
    <col min="6" max="6" width="9.140625" customWidth="1"/>
  </cols>
  <sheetData>
    <row r="1" spans="1:5" x14ac:dyDescent="0.25">
      <c r="A1" s="10" t="s">
        <v>53</v>
      </c>
      <c r="B1" s="10" t="s">
        <v>34</v>
      </c>
      <c r="C1" s="10" t="s">
        <v>23</v>
      </c>
      <c r="D1" s="10" t="s">
        <v>180</v>
      </c>
      <c r="E1" s="10" t="s">
        <v>181</v>
      </c>
    </row>
    <row r="2" spans="1:5" x14ac:dyDescent="0.25">
      <c r="A2" s="11" t="s">
        <v>4</v>
      </c>
      <c r="B2" s="5" t="s">
        <v>182</v>
      </c>
      <c r="C2" s="5" t="s">
        <v>183</v>
      </c>
      <c r="D2" s="173" t="s">
        <v>5</v>
      </c>
      <c r="E2" s="174" t="s">
        <v>184</v>
      </c>
    </row>
    <row r="3" spans="1:5" x14ac:dyDescent="0.25">
      <c r="A3" s="12" t="s">
        <v>8</v>
      </c>
      <c r="B3" s="6" t="s">
        <v>185</v>
      </c>
      <c r="C3" s="7" t="s">
        <v>186</v>
      </c>
      <c r="D3" s="173"/>
      <c r="E3" s="174"/>
    </row>
    <row r="4" spans="1:5" x14ac:dyDescent="0.25">
      <c r="A4" s="13" t="s">
        <v>10</v>
      </c>
      <c r="B4" s="8" t="s">
        <v>187</v>
      </c>
      <c r="C4" s="8" t="s">
        <v>188</v>
      </c>
      <c r="D4" s="3" t="s">
        <v>11</v>
      </c>
      <c r="E4" s="1" t="s">
        <v>189</v>
      </c>
    </row>
    <row r="5" spans="1:5" ht="30" x14ac:dyDescent="0.25">
      <c r="A5" s="14" t="s">
        <v>16</v>
      </c>
      <c r="B5" s="9" t="s">
        <v>190</v>
      </c>
      <c r="C5" s="9" t="s">
        <v>191</v>
      </c>
      <c r="D5" s="4" t="s">
        <v>17</v>
      </c>
      <c r="E5" s="2" t="s">
        <v>192</v>
      </c>
    </row>
  </sheetData>
  <mergeCells count="2">
    <mergeCell ref="D2:D3"/>
    <mergeCell ref="E2:E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3A8479D0C705B41B11663D8F6E4E627" ma:contentTypeVersion="12" ma:contentTypeDescription="Crear nuevo documento." ma:contentTypeScope="" ma:versionID="60c3d4b024373803da55f9c7f1182df5">
  <xsd:schema xmlns:xsd="http://www.w3.org/2001/XMLSchema" xmlns:xs="http://www.w3.org/2001/XMLSchema" xmlns:p="http://schemas.microsoft.com/office/2006/metadata/properties" xmlns:ns2="4848f042-6a9d-4031-8d7b-47184af16f09" xmlns:ns3="b45256ba-2ff6-433d-819d-04f5ec238502" targetNamespace="http://schemas.microsoft.com/office/2006/metadata/properties" ma:root="true" ma:fieldsID="a45beffe5f4f220cc5b2ea31c398b7e3" ns2:_="" ns3:_="">
    <xsd:import namespace="4848f042-6a9d-4031-8d7b-47184af16f09"/>
    <xsd:import namespace="b45256ba-2ff6-433d-819d-04f5ec2385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48f042-6a9d-4031-8d7b-47184af16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256ba-2ff6-433d-819d-04f5ec23850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C6BDC35-EA3B-43EA-811D-BA6B8E318AA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026188-2CC2-4C6F-AA46-5A218B89CDB2}"/>
</file>

<file path=customXml/itemProps3.xml><?xml version="1.0" encoding="utf-8"?>
<ds:datastoreItem xmlns:ds="http://schemas.openxmlformats.org/officeDocument/2006/customXml" ds:itemID="{AF8252C4-C8DB-4CB2-A0BB-254217AB837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STUDENTS LIST</vt:lpstr>
      <vt:lpstr>RUBRIC</vt:lpstr>
      <vt:lpstr>EF_ASESSM_SO_GENERIC</vt:lpstr>
      <vt:lpstr>Analisis_Copiar</vt:lpstr>
      <vt:lpstr>EF_ASESSM_SO_GENERIC!Área_de_impresión</vt:lpstr>
      <vt:lpstr>RUBRIC!Área_de_impresión</vt:lpstr>
      <vt:lpstr>Calificaciones</vt:lpstr>
      <vt:lpstr>Datos_General</vt:lpstr>
      <vt:lpstr>Estudiantes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Genett Isabel Jiménez Delgado;Anibal Rueda</dc:creator>
  <cp:keywords/>
  <dc:description/>
  <cp:lastModifiedBy>MARIO BRUME</cp:lastModifiedBy>
  <cp:revision/>
  <cp:lastPrinted>2023-06-17T16:55:51Z</cp:lastPrinted>
  <dcterms:created xsi:type="dcterms:W3CDTF">2020-01-31T15:24:41Z</dcterms:created>
  <dcterms:modified xsi:type="dcterms:W3CDTF">2023-06-18T04:02:39Z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0x01010013A8479D0C705B41B11663D8F6E4E627</vt:lpwstr>
  </property>
</Properties>
</file>